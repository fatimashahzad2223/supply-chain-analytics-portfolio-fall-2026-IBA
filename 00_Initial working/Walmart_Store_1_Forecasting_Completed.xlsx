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691d416af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8d90f989a643c7"/>
    <x:sheet xmlns:r="http://schemas.openxmlformats.org/officeDocument/2006/relationships" name="Forecasts" sheetId="2" r:id="Re9c85b360b194811"/>
    <x:sheet xmlns:r="http://schemas.openxmlformats.org/officeDocument/2006/relationships" name="Store 1 Data" sheetId="3" r:id="R2383ca9b3b2a4ac4"/>
    <x:sheet xmlns:r="http://schemas.openxmlformats.org/officeDocument/2006/relationships" name="Colab Code" sheetId="4" r:id="R6bcad1ff4d40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dd-mmm-yyyy"/>
    <x:numFmt numFmtId="202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Courier New"/>
    </x:font>
  </x:fonts>
  <x:fills count="5">
    <x:fill>
      <x:patternFill patternType="none"/>
    </x:fill>
    <x:fill>
      <x:patternFill patternType="gray125"/>
    </x:fill>
    <x:fill>
      <x:patternFill patternType="solid">
        <x:fgColor rgb="FF7A1631"/>
      </x:patternFill>
    </x:fill>
    <x:fill>
      <x:patternFill patternType="solid">
        <x:fgColor rgb="FFD9C3CA"/>
      </x:patternFill>
    </x:fill>
    <x:fill>
      <x:patternFill patternType="solid">
        <x:fgColor rgb="FFF2E8EB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ef667bb8c4925" /><Relationship Type="http://schemas.openxmlformats.org/officeDocument/2006/relationships/theme" Target="/xl/theme/theme1.xml" Id="Rb774a9d7f47f4906" /><Relationship Type="http://schemas.openxmlformats.org/officeDocument/2006/relationships/sharedStrings" Target="/xl/sharedStrings.xml" Id="R213ef9a8583f4ef5" /><Relationship Type="http://schemas.openxmlformats.org/officeDocument/2006/relationships/worksheet" Target="/xl/worksheets/sheet1.xml" Id="R628d90f989a643c7" /><Relationship Type="http://schemas.openxmlformats.org/officeDocument/2006/relationships/worksheet" Target="/xl/worksheets/sheet2.xml" Id="Re9c85b360b194811" /><Relationship Type="http://schemas.openxmlformats.org/officeDocument/2006/relationships/worksheet" Target="/xl/worksheets/sheet3.xml" Id="R2383ca9b3b2a4ac4" /><Relationship Type="http://schemas.openxmlformats.org/officeDocument/2006/relationships/worksheet" Target="/xl/worksheets/sheet4.xml" Id="R6bcad1ff4d404d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c4d943419640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vs Forecasts - Store 1 Test Period</a:t>
            </a:r>
          </a:p>
        </c:rich>
      </c:tx>
    </c:title>
    <c:plotArea>
      <c:lineChart>
        <c:grouping val="standard"/>
        <c:ser>
          <c:idx val="0"/>
          <c:order val="0"/>
          <c:tx>
            <c:v>Actual Sales</c:v>
          </c:tx>
          <c:marker>
            <c:symbol val="none"/>
          </c:marker>
          <c:cat>
            <c:strRef>
              <c:f>'Forecasts'!$A$2:$A$13</c:f>
              <c:strCache>
                <c:ptCount val="0"/>
              </c:strCache>
            </c:strRef>
          </c:cat>
          <c:val>
            <c:numRef>
              <c:f>'Forecasts'!$B$2:$B$13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Holiday Flag</c:v>
          </c:tx>
          <c:marker>
            <c:symbol val="none"/>
          </c:marker>
          <c:cat>
            <c:strRef>
              <c:f>'Forecasts'!$A$2:$A$13</c:f>
              <c:strCache>
                <c:ptCount val="0"/>
              </c:strCache>
            </c:strRef>
          </c:cat>
          <c:val>
            <c:numRef>
              <c:f>'Forecasts'!$C$2:$C$13</c:f>
              <c:numCache>
                <c:formatCode>#,##0.00</c:formatCode>
                <c:ptCount val="0"/>
              </c:numCache>
            </c:numRef>
          </c:val>
        </c:ser>
        <c:ser>
          <c:idx val="2"/>
          <c:order val="2"/>
          <c:tx>
            <c:v>4-Wk SMA</c:v>
          </c:tx>
          <c:marker>
            <c:symbol val="none"/>
          </c:marker>
          <c:cat>
            <c:strRef>
              <c:f>'Forecasts'!$A$2:$A$13</c:f>
              <c:strCache>
                <c:ptCount val="0"/>
              </c:strCache>
            </c:strRef>
          </c:cat>
          <c:val>
            <c:numRef>
              <c:f>'Forecasts'!$D$2:$D$13</c:f>
              <c:numCache>
                <c:formatCode>#,##0.00</c:formatCode>
                <c:ptCount val="0"/>
              </c:numCache>
            </c:numRef>
          </c:val>
        </c:ser>
        <c:ser>
          <c:idx val="3"/>
          <c:order val="3"/>
          <c:tx>
            <c:v>SES 0.3</c:v>
          </c:tx>
          <c:marker>
            <c:symbol val="none"/>
          </c:marker>
          <c:cat>
            <c:strRef>
              <c:f>'Forecasts'!$A$2:$A$13</c:f>
              <c:strCache>
                <c:ptCount val="0"/>
              </c:strCache>
            </c:strRef>
          </c:cat>
          <c:val>
            <c:numRef>
              <c:f>'Forecasts'!$E$2:$E$13</c:f>
              <c:numCache>
                <c:formatCode>#,##0.00</c:formatCode>
                <c:ptCount val="0"/>
              </c:numCache>
            </c:numRef>
          </c:val>
        </c:ser>
        <c:ser>
          <c:idx val="4"/>
          <c:order val="4"/>
          <c:tx>
            <c:v>SES 0.6</c:v>
          </c:tx>
          <c:marker>
            <c:symbol val="none"/>
          </c:marker>
          <c:cat>
            <c:strRef>
              <c:f>'Forecasts'!$A$2:$A$13</c:f>
              <c:strCache>
                <c:ptCount val="0"/>
              </c:strCache>
            </c:strRef>
          </c:cat>
          <c:val>
            <c:numRef>
              <c:f>'Forecasts'!$F$2:$F$13</c:f>
              <c:numCache>
                <c:formatCode>#,##0.00</c:formatCode>
                <c:ptCount val="0"/>
              </c:numCache>
            </c:numRef>
          </c:val>
        </c:ser>
        <c:ser>
          <c:idx val="5"/>
          <c:order val="5"/>
          <c:tx>
            <c:v>Seasonal Naive</c:v>
          </c:tx>
          <c:marker>
            <c:symbol val="none"/>
          </c:marker>
          <c:cat>
            <c:strRef>
              <c:f>'Forecasts'!$A$2:$A$13</c:f>
              <c:strCache>
                <c:ptCount val="0"/>
              </c:strCache>
            </c:strRef>
          </c:cat>
          <c:val>
            <c:numRef>
              <c:f>'Forecasts'!$G$2:$G$13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c4d943419640f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a0a974f8a3e42b1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24" t="str">
        <x:v>Walmart Store 1 - Multi-Method Forecasting Lab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5" t="str">
        <x:v>Store selected</x:v>
      </x:c>
      <x:c r="B3" s="25" t="n">
        <x:v>1</x:v>
      </x:c>
      <x:c r="C3" s="25"/>
      <x:c r="D3" s="26" t="str">
        <x:v>Reflection / Interpretation</x:v>
      </x:c>
      <x:c r="E3" s="26"/>
      <x:c r="F3" s="26"/>
    </x:row>
    <x:row r="4">
      <x:c r="A4" s="25" t="str">
        <x:v>Total weeks</x:v>
      </x:c>
      <x:c r="B4" s="25" t="n">
        <x:v>143</x:v>
      </x:c>
      <x:c r="C4" s="25"/>
      <x:c r="D4" s="27" t="str">
        <x:v>1. What did you ask AI?</x:v>
      </x:c>
      <x:c r="E4" s="27"/>
      <x:c r="F4" s="27"/>
    </x:row>
    <x:row r="5">
      <x:c r="A5" s="25" t="str">
        <x:v>Training weeks</x:v>
      </x:c>
      <x:c r="B5" s="25" t="n">
        <x:v>131</x:v>
      </x:c>
      <x:c r="C5" s="25"/>
      <x:c r="D5" s="28" t="str">
        <x:v>I asked AI to build three forecasting approaches for one Walmart store using a 12-week holdout: a 4-week simple moving average, simple exponential smoothing with alpha 0.3 and 0.6, and a seasonal-naive method that uses the holiday flag. I also asked it to calculate MAPE and compare the forecasts.</x:v>
      </x:c>
      <x:c r="E5" s="28"/>
      <x:c r="F5" s="28"/>
    </x:row>
    <x:row r="6">
      <x:c r="A6" s="25" t="str">
        <x:v>Test weeks</x:v>
      </x:c>
      <x:c r="B6" s="25" t="n">
        <x:v>12</x:v>
      </x:c>
      <x:c r="C6" s="25"/>
      <x:c r="D6" s="28"/>
      <x:c r="E6" s="28"/>
      <x:c r="F6" s="28"/>
    </x:row>
    <x:row r="7">
      <x:c r="A7" s="25" t="str">
        <x:v>Test period</x:v>
      </x:c>
      <x:c r="B7" s="25" t="str">
        <x:v>10 Aug 2012 - 26 Oct 2012</x:v>
      </x:c>
      <x:c r="C7" s="25"/>
      <x:c r="D7" s="25"/>
      <x:c r="E7" s="25"/>
      <x:c r="F7" s="25"/>
    </x:row>
    <x:row r="8">
      <x:c r="A8" s="25" t="str">
        <x:v>Holiday weeks in test</x:v>
      </x:c>
      <x:c r="B8" s="25" t="n">
        <x:v>1</x:v>
      </x:c>
      <x:c r="C8" s="25"/>
      <x:c r="D8" s="27" t="str">
        <x:v>2. What does the Python output show?</x:v>
      </x:c>
      <x:c r="E8" s="27"/>
      <x:c r="F8" s="27"/>
    </x:row>
    <x:row r="9">
      <x:c r="A9" s="25"/>
      <x:c r="B9" s="25"/>
      <x:c r="C9" s="25"/>
      <x:c r="D9" s="28" t="str">
        <x:v>The output shows that the seasonal-naive method had the lowest MAPE at 3.52%. The 4-week moving average was 3.79%, SES alpha 0.3 was 3.89%, and SES alpha 0.6 was 3.91%.</x:v>
      </x:c>
      <x:c r="E9" s="28"/>
      <x:c r="F9" s="28"/>
    </x:row>
    <x:row r="10">
      <x:c r="A10" s="29" t="str">
        <x:v>Method</x:v>
      </x:c>
      <x:c r="B10" s="29" t="str">
        <x:v>MAPE</x:v>
      </x:c>
      <x:c r="C10" s="25"/>
      <x:c r="D10" s="28"/>
      <x:c r="E10" s="28"/>
      <x:c r="F10" s="28"/>
    </x:row>
    <x:row r="11">
      <x:c r="A11" s="25" t="str">
        <x:v>Seasonal Naive (52-week + Holiday_Flag match)</x:v>
      </x:c>
      <x:c r="B11" s="30" t="n">
        <x:v>0.03524151385978667</x:v>
      </x:c>
      <x:c r="C11" s="25"/>
      <x:c r="D11" s="25"/>
      <x:c r="E11" s="25"/>
      <x:c r="F11" s="25"/>
    </x:row>
    <x:row r="12">
      <x:c r="A12" s="25" t="str">
        <x:v>4-Week Simple Moving Average</x:v>
      </x:c>
      <x:c r="B12" s="30" t="n">
        <x:v>0.03794743731867795</x:v>
      </x:c>
      <x:c r="C12" s="25"/>
      <x:c r="D12" s="27" t="str">
        <x:v>3. Supply-chain insight</x:v>
      </x:c>
      <x:c r="E12" s="27"/>
      <x:c r="F12" s="27"/>
    </x:row>
    <x:row r="13">
      <x:c r="A13" s="25" t="str">
        <x:v>SES alpha = 0.3</x:v>
      </x:c>
      <x:c r="B13" s="30" t="n">
        <x:v>0.038904795527894206</x:v>
      </x:c>
      <x:c r="C13" s="25"/>
      <x:c r="D13" s="28" t="str">
        <x:v>Store 1 shows a recurring seasonal pattern. In the training data, holiday weeks averaged about 7.7% higher sales than non-holiday weeks. The test period contained only 1 holiday week, so most of the 12-week comparison reflects ordinary weekly demand rather than peak holiday demand.</x:v>
      </x:c>
      <x:c r="E13" s="28"/>
      <x:c r="F13" s="28"/>
    </x:row>
    <x:row r="14">
      <x:c r="A14" s="25" t="str">
        <x:v>SES alpha = 0.6</x:v>
      </x:c>
      <x:c r="B14" s="30" t="n">
        <x:v>0.039088000832383306</x:v>
      </x:c>
      <x:c r="C14" s="25"/>
      <x:c r="D14" s="28"/>
      <x:c r="E14" s="28"/>
      <x:c r="F14" s="28"/>
    </x:row>
    <x:row r="15">
      <x:c r="A15" s="25"/>
      <x:c r="B15" s="25"/>
      <x:c r="C15" s="25"/>
      <x:c r="D15" s="25"/>
      <x:c r="E15" s="25"/>
      <x:c r="F15" s="25"/>
    </x:row>
    <x:row r="16">
      <x:c r="A16" s="25"/>
      <x:c r="B16" s="25"/>
      <x:c r="C16" s="25"/>
      <x:c r="D16" s="27" t="str">
        <x:v>4. Managerial decision</x:v>
      </x:c>
      <x:c r="E16" s="27"/>
      <x:c r="F16" s="27"/>
    </x:row>
    <x:row r="17">
      <x:c r="A17" s="25"/>
      <x:c r="B17" s="25"/>
      <x:c r="C17" s="25"/>
      <x:c r="D17" s="28" t="str">
        <x:v>For this test period, I would use the seasonal-naive forecast for replenishment planning because it produced the lowest holdout MAPE (3.52%). I would still monitor a simple moving average as a benchmark because its error was also low and it reacts to recent demand.</x:v>
      </x:c>
      <x:c r="E17" s="28"/>
      <x:c r="F17" s="28"/>
    </x:row>
    <x:row r="18">
      <x:c r="A18" s="25"/>
      <x:c r="B18" s="25"/>
      <x:c r="C18" s="25"/>
      <x:c r="D18" s="28"/>
      <x:c r="E18" s="28"/>
      <x:c r="F18" s="28"/>
    </x:row>
    <x:row r="19">
      <x:c r="A19" s="25"/>
      <x:c r="B19" s="25"/>
      <x:c r="C19" s="25"/>
      <x:c r="D19" s="25"/>
      <x:c r="E19" s="25"/>
      <x:c r="F19" s="25"/>
    </x:row>
    <x:row r="20">
      <x:c r="A20" s="25"/>
      <x:c r="B20" s="25"/>
      <x:c r="C20" s="25"/>
      <x:c r="D20" s="27" t="str">
        <x:v>5. Limitation</x:v>
      </x:c>
      <x:c r="E20" s="27"/>
      <x:c r="F20" s="27"/>
    </x:row>
    <x:row r="21">
      <x:c r="A21" s="25"/>
      <x:c r="B21" s="25"/>
      <x:c r="C21" s="25"/>
      <x:c r="D21" s="28" t="str">
        <x:v>The holdout contains only 12 weeks and only one holiday week, so it is too short to fully test the benefit of holiday seasonality. Also, the dataset is store-level total sales rather than product/SKU-level demand, so the result cannot directly determine replenishment for individual items.</x:v>
      </x:c>
      <x:c r="E21" s="28"/>
      <x:c r="F21" s="28"/>
    </x:row>
    <x:row r="22">
      <x:c r="A22" s="25"/>
      <x:c r="B22" s="25"/>
      <x:c r="C22" s="25"/>
      <x:c r="D22" s="28"/>
      <x:c r="E22" s="28"/>
      <x:c r="F22" s="28"/>
    </x:row>
    <x:row r="23">
      <x:c r="A23" s="25"/>
      <x:c r="B23" s="25"/>
      <x:c r="C23" s="25"/>
      <x:c r="D23" s="25"/>
      <x:c r="E23" s="25"/>
      <x:c r="F23" s="25"/>
    </x:row>
    <x:row r="24">
      <x:c r="A24" s="25"/>
      <x:c r="B24" s="25"/>
      <x:c r="C24" s="25"/>
      <x:c r="D24" s="25"/>
      <x:c r="E24" s="25"/>
      <x:c r="F24" s="25"/>
    </x:row>
    <x:row r="25">
      <x:c r="A25" s="25"/>
      <x:c r="B25" s="25"/>
      <x:c r="C25" s="25"/>
      <x:c r="D25" s="25"/>
      <x:c r="E25" s="25"/>
      <x:c r="F25" s="25"/>
    </x:row>
  </x:sheetData>
  <x:mergeCells>
    <x:mergeCell ref="A1:F1"/>
    <x:mergeCell ref="D3:F3"/>
    <x:mergeCell ref="D4:F4"/>
    <x:mergeCell ref="D5:F6"/>
    <x:mergeCell ref="D8:F8"/>
    <x:mergeCell ref="D9:F10"/>
    <x:mergeCell ref="D12:F12"/>
    <x:mergeCell ref="D13:F14"/>
    <x:mergeCell ref="D16:F16"/>
    <x:mergeCell ref="D17:F18"/>
    <x:mergeCell ref="D20:F20"/>
    <x:mergeCell ref="D21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</x:cols>
  <x:sheetData>
    <x:row r="1">
      <x:c r="A1" s="12" t="str">
        <x:v>Date</x:v>
      </x:c>
      <x:c r="B1" s="12" t="str">
        <x:v>Actual Sales</x:v>
      </x:c>
      <x:c r="C1" s="12" t="str">
        <x:v>Holiday Flag</x:v>
      </x:c>
      <x:c r="D1" s="12" t="str">
        <x:v>4-Wk SMA</x:v>
      </x:c>
      <x:c r="E1" s="12" t="str">
        <x:v>SES 0.3</x:v>
      </x:c>
      <x:c r="F1" s="12" t="str">
        <x:v>SES 0.6</x:v>
      </x:c>
      <x:c r="G1" s="12" t="str">
        <x:v>Seasonal Naive</x:v>
      </x:c>
      <x:c r="H1" s="12" t="str">
        <x:v>Seasonal Ref Date</x:v>
      </x:c>
      <x:c r="I1" s="12" t="str">
        <x:v>APE SMA</x:v>
      </x:c>
      <x:c r="J1" s="12" t="str">
        <x:v>APE SES .3</x:v>
      </x:c>
      <x:c r="K1" s="12" t="str">
        <x:v>APE SES .6</x:v>
      </x:c>
      <x:c r="L1" s="12" t="str">
        <x:v>APE Seasonal</x:v>
      </x:c>
    </x:row>
    <x:row r="2">
      <x:c r="A2" s="38" t="n">
        <x:v>41131</x:v>
      </x:c>
      <x:c r="B2" s="40" t="n">
        <x:v>1592409.97</x:v>
      </x:c>
      <x:c r="C2" s="40" t="n">
        <x:v>0</x:v>
      </x:c>
      <x:c r="D2" s="40" t="n">
        <x:v>1523807.075</x:v>
      </x:c>
      <x:c r="E2" s="40" t="n">
        <x:v>1562250.4934649146</x:v>
      </x:c>
      <x:c r="F2" s="40" t="n">
        <x:v>1569607.2363409512</x:v>
      </x:c>
      <x:c r="G2" s="40" t="n">
        <x:v>1525147.09</x:v>
      </x:c>
      <x:c r="H2" s="38" t="n">
        <x:v>40767</x:v>
      </x:c>
      <x:c r="I2" s="10" t="n">
        <x:f>ABS((B2-D2)/B2)</x:f>
        <x:v>0.0430811765138597</x:v>
      </x:c>
      <x:c r="J2" s="10" t="n">
        <x:f>ABS((B2-E2)/B2)</x:f>
        <x:v>0.01893951752580735</x:v>
      </x:c>
      <x:c r="K2" s="10" t="n">
        <x:f>ABS((B2-F2)/B2)</x:f>
        <x:v>0.014319637586198232</x:v>
      </x:c>
      <x:c r="L2" s="10" t="n">
        <x:f>ABS((B2-G2)/B2)</x:f>
        <x:v>0.042239675251468</x:v>
      </x:c>
    </x:row>
    <x:row r="3">
      <x:c r="A3" s="38" t="n">
        <x:v>41138</x:v>
      </x:c>
      <x:c r="B3" s="40" t="n">
        <x:v>1597868.05</x:v>
      </x:c>
      <x:c r="C3" s="40" t="n">
        <x:v>0</x:v>
      </x:c>
      <x:c r="D3" s="40" t="n">
        <x:v>1523807.075</x:v>
      </x:c>
      <x:c r="E3" s="40" t="n">
        <x:v>1562250.4934649146</x:v>
      </x:c>
      <x:c r="F3" s="40" t="n">
        <x:v>1569607.2363409512</x:v>
      </x:c>
      <x:c r="G3" s="40" t="n">
        <x:v>1530761.43</x:v>
      </x:c>
      <x:c r="H3" s="38" t="n">
        <x:v>40774</x:v>
      </x:c>
      <x:c r="I3" s="10" t="n">
        <x:f>ABS((B3-D3)/B3)</x:f>
        <x:v>0.04634986912717861</x:v>
      </x:c>
      <x:c r="J3" s="10" t="n">
        <x:f>ABS((B3-E3)/B3)</x:f>
        <x:v>0.022290674461564852</x:v>
      </x:c>
      <x:c r="K3" s="10" t="n">
        <x:f>ABS((B3-F3)/B3)</x:f>
        <x:v>0.01768657534584841</x:v>
      </x:c>
      <x:c r="L3" s="10" t="n">
        <x:f>ABS((B3-G3)/B3)</x:f>
        <x:v>0.04199759798689267</x:v>
      </x:c>
    </x:row>
    <x:row r="4">
      <x:c r="A4" s="38" t="n">
        <x:v>41145</x:v>
      </x:c>
      <x:c r="B4" s="40" t="n">
        <x:v>1494122.38</x:v>
      </x:c>
      <x:c r="C4" s="40" t="n">
        <x:v>0</x:v>
      </x:c>
      <x:c r="D4" s="40" t="n">
        <x:v>1523807.075</x:v>
      </x:c>
      <x:c r="E4" s="40" t="n">
        <x:v>1562250.4934649146</x:v>
      </x:c>
      <x:c r="F4" s="40" t="n">
        <x:v>1569607.2363409512</x:v>
      </x:c>
      <x:c r="G4" s="40" t="n">
        <x:v>1464693.46</x:v>
      </x:c>
      <x:c r="H4" s="38" t="n">
        <x:v>40781</x:v>
      </x:c>
      <x:c r="I4" s="10" t="n">
        <x:f>ABS((B4-D4)/B4)</x:f>
        <x:v>0.01986764631689679</x:v>
      </x:c>
      <x:c r="J4" s="10" t="n">
        <x:f>ABS((B4-E4)/B4)</x:f>
        <x:v>0.045597411816369914</x:v>
      </x:c>
      <x:c r="K4" s="10" t="n">
        <x:f>ABS((B4-F4)/B4)</x:f>
        <x:v>0.050521200506314146</x:v>
      </x:c>
      <x:c r="L4" s="10" t="n">
        <x:f>ABS((B4-G4)/B4)</x:f>
        <x:v>0.01969645886704403</x:v>
      </x:c>
    </x:row>
    <x:row r="5">
      <x:c r="A5" s="38" t="n">
        <x:v>41152</x:v>
      </x:c>
      <x:c r="B5" s="40" t="n">
        <x:v>1582083.4</x:v>
      </x:c>
      <x:c r="C5" s="40" t="n">
        <x:v>0</x:v>
      </x:c>
      <x:c r="D5" s="40" t="n">
        <x:v>1523807.075</x:v>
      </x:c>
      <x:c r="E5" s="40" t="n">
        <x:v>1562250.4934649146</x:v>
      </x:c>
      <x:c r="F5" s="40" t="n">
        <x:v>1569607.2363409512</x:v>
      </x:c>
      <x:c r="G5" s="40" t="n">
        <x:v>1550229.22</x:v>
      </x:c>
      <x:c r="H5" s="38" t="n">
        <x:v>40788</x:v>
      </x:c>
      <x:c r="I5" s="10" t="n">
        <x:f>ABS((B5-D5)/B5)</x:f>
        <x:v>0.036835178853403025</x:v>
      </x:c>
      <x:c r="J5" s="10" t="n">
        <x:f>ABS((B5-E5)/B5)</x:f>
        <x:v>0.012535942501568054</x:v>
      </x:c>
      <x:c r="K5" s="10" t="n">
        <x:f>ABS((B5-F5)/B5)</x:f>
        <x:v>0.007885907695541672</x:v>
      </x:c>
      <x:c r="L5" s="10" t="n">
        <x:f>ABS((B5-G5)/B5)</x:f>
        <x:v>0.020134324144984984</x:v>
      </x:c>
    </x:row>
    <x:row r="6">
      <x:c r="A6" s="38" t="n">
        <x:v>41159</x:v>
      </x:c>
      <x:c r="B6" s="40" t="n">
        <x:v>1661767.33</x:v>
      </x:c>
      <x:c r="C6" s="40" t="n">
        <x:v>1</x:v>
      </x:c>
      <x:c r="D6" s="40" t="n">
        <x:v>1523807.075</x:v>
      </x:c>
      <x:c r="E6" s="40" t="n">
        <x:v>1562250.4934649146</x:v>
      </x:c>
      <x:c r="F6" s="40" t="n">
        <x:v>1569607.2363409512</x:v>
      </x:c>
      <x:c r="G6" s="40" t="n">
        <x:v>1540471.24</x:v>
      </x:c>
      <x:c r="H6" s="38" t="n">
        <x:v>40795</x:v>
      </x:c>
      <x:c r="I6" s="10" t="n">
        <x:f>ABS((B6-D6)/B6)</x:f>
        <x:v>0.08302019934403218</x:v>
      </x:c>
      <x:c r="J6" s="10" t="n">
        <x:f>ABS((B6-E6)/B6)</x:f>
        <x:v>0.05988614334780878</x:v>
      </x:c>
      <x:c r="K6" s="10" t="n">
        <x:f>ABS((B6-F6)/B6)</x:f>
        <x:v>0.05545908382917174</x:v>
      </x:c>
      <x:c r="L6" s="10" t="n">
        <x:f>ABS((B6-G6)/B6)</x:f>
        <x:v>0.07299222208201679</x:v>
      </x:c>
    </x:row>
    <x:row r="7">
      <x:c r="A7" s="38" t="n">
        <x:v>41166</x:v>
      </x:c>
      <x:c r="B7" s="40" t="n">
        <x:v>1517428.87</x:v>
      </x:c>
      <x:c r="C7" s="40" t="n">
        <x:v>0</x:v>
      </x:c>
      <x:c r="D7" s="40" t="n">
        <x:v>1523807.075</x:v>
      </x:c>
      <x:c r="E7" s="40" t="n">
        <x:v>1562250.4934649146</x:v>
      </x:c>
      <x:c r="F7" s="40" t="n">
        <x:v>1569607.2363409512</x:v>
      </x:c>
      <x:c r="G7" s="40" t="n">
        <x:v>1514259.78</x:v>
      </x:c>
      <x:c r="H7" s="38" t="n">
        <x:v>40802</x:v>
      </x:c>
      <x:c r="I7" s="10" t="n">
        <x:f>ABS((B7-D7)/B7)</x:f>
        <x:v>0.0042032975160146</x:v>
      </x:c>
      <x:c r="J7" s="10" t="n">
        <x:f>ABS((B7-E7)/B7)</x:f>
        <x:v>0.029537874460576527</x:v>
      </x:c>
      <x:c r="K7" s="10" t="n">
        <x:f>ABS((B7-F7)/B7)</x:f>
        <x:v>0.03438603770663139</x:v>
      </x:c>
      <x:c r="L7" s="10" t="n">
        <x:f>ABS((B7-G7)/B7)</x:f>
        <x:v>0.0020884603309281203</x:v>
      </x:c>
    </x:row>
    <x:row r="8">
      <x:c r="A8" s="38" t="n">
        <x:v>41173</x:v>
      </x:c>
      <x:c r="B8" s="40" t="n">
        <x:v>1506126.06</x:v>
      </x:c>
      <x:c r="C8" s="40" t="n">
        <x:v>0</x:v>
      </x:c>
      <x:c r="D8" s="40" t="n">
        <x:v>1523807.075</x:v>
      </x:c>
      <x:c r="E8" s="40" t="n">
        <x:v>1562250.4934649146</x:v>
      </x:c>
      <x:c r="F8" s="40" t="n">
        <x:v>1569607.2363409512</x:v>
      </x:c>
      <x:c r="G8" s="40" t="n">
        <x:v>1380020.27</x:v>
      </x:c>
      <x:c r="H8" s="38" t="n">
        <x:v>40809</x:v>
      </x:c>
      <x:c r="I8" s="10" t="n">
        <x:f>ABS((B8-D8)/B8)</x:f>
        <x:v>0.011739399157597669</x:v>
      </x:c>
      <x:c r="J8" s="10" t="n">
        <x:f>ABS((B8-E8)/B8)</x:f>
        <x:v>0.037264100897978325</x:v>
      </x:c>
      <x:c r="K8" s="10" t="n">
        <x:f>ABS((B8-F8)/B8)</x:f>
        <x:v>0.042148647465107346</x:v>
      </x:c>
      <x:c r="L8" s="10" t="n">
        <x:f>ABS((B8-G8)/B8)</x:f>
        <x:v>0.08372857581389968</x:v>
      </x:c>
    </x:row>
    <x:row r="9">
      <x:c r="A9" s="38" t="n">
        <x:v>41180</x:v>
      </x:c>
      <x:c r="B9" s="40" t="n">
        <x:v>1437059.26</x:v>
      </x:c>
      <x:c r="C9" s="40" t="n">
        <x:v>0</x:v>
      </x:c>
      <x:c r="D9" s="40" t="n">
        <x:v>1523807.075</x:v>
      </x:c>
      <x:c r="E9" s="40" t="n">
        <x:v>1562250.4934649146</x:v>
      </x:c>
      <x:c r="F9" s="40" t="n">
        <x:v>1569607.2363409512</x:v>
      </x:c>
      <x:c r="G9" s="40" t="n">
        <x:v>1394561.83</x:v>
      </x:c>
      <x:c r="H9" s="38" t="n">
        <x:v>40816</x:v>
      </x:c>
      <x:c r="I9" s="10" t="n">
        <x:f>ABS((B9-D9)/B9)</x:f>
        <x:v>0.06036481404392464</x:v>
      </x:c>
      <x:c r="J9" s="10" t="n">
        <x:f>ABS((B9-E9)/B9)</x:f>
        <x:v>0.08711626371268406</x:v>
      </x:c>
      <x:c r="K9" s="10" t="n">
        <x:f>ABS((B9-F9)/B9)</x:f>
        <x:v>0.09223556747475477</x:v>
      </x:c>
      <x:c r="L9" s="10" t="n">
        <x:f>ABS((B9-G9)/B9)</x:f>
        <x:v>0.02957249654408819</x:v>
      </x:c>
    </x:row>
    <x:row r="10">
      <x:c r="A10" s="38" t="n">
        <x:v>41187</x:v>
      </x:c>
      <x:c r="B10" s="40" t="n">
        <x:v>1670785.97</x:v>
      </x:c>
      <x:c r="C10" s="40" t="n">
        <x:v>0</x:v>
      </x:c>
      <x:c r="D10" s="40" t="n">
        <x:v>1523807.075</x:v>
      </x:c>
      <x:c r="E10" s="40" t="n">
        <x:v>1562250.4934649146</x:v>
      </x:c>
      <x:c r="F10" s="40" t="n">
        <x:v>1569607.2363409512</x:v>
      </x:c>
      <x:c r="G10" s="40" t="n">
        <x:v>1630989.95</x:v>
      </x:c>
      <x:c r="H10" s="38" t="n">
        <x:v>40823</x:v>
      </x:c>
      <x:c r="I10" s="10" t="n">
        <x:f>ABS((B10-D10)/B10)</x:f>
        <x:v>0.08796991214859197</x:v>
      </x:c>
      <x:c r="J10" s="10" t="n">
        <x:f>ABS((B10-E10)/B10)</x:f>
        <x:v>0.06496073014970634</x:v>
      </x:c>
      <x:c r="K10" s="10" t="n">
        <x:f>ABS((B10-F10)/B10)</x:f>
        <x:v>0.060557567202368115</x:v>
      </x:c>
      <x:c r="L10" s="10" t="n">
        <x:f>ABS((B10-G10)/B10)</x:f>
        <x:v>0.02381874202594604</x:v>
      </x:c>
    </x:row>
    <x:row r="11">
      <x:c r="A11" s="38" t="n">
        <x:v>41194</x:v>
      </x:c>
      <x:c r="B11" s="40" t="n">
        <x:v>1573072.81</x:v>
      </x:c>
      <x:c r="C11" s="40" t="n">
        <x:v>0</x:v>
      </x:c>
      <x:c r="D11" s="40" t="n">
        <x:v>1523807.075</x:v>
      </x:c>
      <x:c r="E11" s="40" t="n">
        <x:v>1562250.4934649146</x:v>
      </x:c>
      <x:c r="F11" s="40" t="n">
        <x:v>1569607.2363409512</x:v>
      </x:c>
      <x:c r="G11" s="40" t="n">
        <x:v>1493525.93</x:v>
      </x:c>
      <x:c r="H11" s="38" t="n">
        <x:v>40830</x:v>
      </x:c>
      <x:c r="I11" s="10" t="n">
        <x:f>ABS((B11-D11)/B11)</x:f>
        <x:v>0.031318153035777216</x:v>
      </x:c>
      <x:c r="J11" s="10" t="n">
        <x:f>ABS((B11-E11)/B11)</x:f>
        <x:v>0.006879730211016386</x:v>
      </x:c>
      <x:c r="K11" s="10" t="n">
        <x:f>ABS((B11-F11)/B11)</x:f>
        <x:v>0.0022030599200610944</x:v>
      </x:c>
      <x:c r="L11" s="10" t="n">
        <x:f>ABS((B11-G11)/B11)</x:f>
        <x:v>0.05056783099569315</x:v>
      </x:c>
    </x:row>
    <x:row r="12">
      <x:c r="A12" s="38" t="n">
        <x:v>41201</x:v>
      </x:c>
      <x:c r="B12" s="40" t="n">
        <x:v>1508068.77</x:v>
      </x:c>
      <x:c r="C12" s="40" t="n">
        <x:v>0</x:v>
      </x:c>
      <x:c r="D12" s="40" t="n">
        <x:v>1523807.075</x:v>
      </x:c>
      <x:c r="E12" s="40" t="n">
        <x:v>1562250.4934649146</x:v>
      </x:c>
      <x:c r="F12" s="40" t="n">
        <x:v>1569607.2363409512</x:v>
      </x:c>
      <x:c r="G12" s="40" t="n">
        <x:v>1502562.78</x:v>
      </x:c>
      <x:c r="H12" s="38" t="n">
        <x:v>40837</x:v>
      </x:c>
      <x:c r="I12" s="10" t="n">
        <x:f>ABS((B12-D12)/B12)</x:f>
        <x:v>0.010436065856598791</x:v>
      </x:c>
      <x:c r="J12" s="10" t="n">
        <x:f>ABS((B12-E12)/B12)</x:f>
        <x:v>0.03592788640859833</x:v>
      </x:c>
      <x:c r="K12" s="10" t="n">
        <x:f>ABS((B12-F12)/B12)</x:f>
        <x:v>0.04080614065163033</x:v>
      </x:c>
      <x:c r="L12" s="10" t="n">
        <x:f>ABS((B12-G12)/B12)</x:f>
        <x:v>0.003651020503527827</x:v>
      </x:c>
    </x:row>
    <x:row r="13">
      <x:c r="A13" s="38" t="n">
        <x:v>41208</x:v>
      </x:c>
      <x:c r="B13" s="40" t="n">
        <x:v>1493659.74</x:v>
      </x:c>
      <x:c r="C13" s="40" t="n">
        <x:v>0</x:v>
      </x:c>
      <x:c r="D13" s="40" t="n">
        <x:v>1523807.075</x:v>
      </x:c>
      <x:c r="E13" s="40" t="n">
        <x:v>1562250.4934649146</x:v>
      </x:c>
      <x:c r="F13" s="40" t="n">
        <x:v>1569607.2363409512</x:v>
      </x:c>
      <x:c r="G13" s="40" t="n">
        <x:v>1445249.09</x:v>
      </x:c>
      <x:c r="H13" s="38" t="n">
        <x:v>40844</x:v>
      </x:c>
      <x:c r="I13" s="10" t="n">
        <x:f>ABS((B13-D13)/B13)</x:f>
        <x:v>0.020183535910260234</x:v>
      </x:c>
      <x:c r="J13" s="10" t="n">
        <x:f>ABS((B13-E13)/B13)</x:f>
        <x:v>0.04592127084105154</x:v>
      </x:c>
      <x:c r="K13" s="10" t="n">
        <x:f>ABS((B13-F13)/B13)</x:f>
        <x:v>0.05084658460497247</x:v>
      </x:c>
      <x:c r="L13" s="10" t="n">
        <x:f>ABS((B13-G13)/B13)</x:f>
        <x:v>0.03241076177095053</x:v>
      </x:c>
    </x:row>
    <x:row r="15">
      <x:c r="A15" s="15" t="str">
        <x:v>Method</x:v>
      </x:c>
      <x:c r="B15" s="15" t="str">
        <x:v>MAPE</x:v>
      </x:c>
    </x:row>
    <x:row r="16">
      <x:c r="A16" t="str">
        <x:v>4-Wk SMA</x:v>
      </x:c>
      <x:c r="B16" s="10" t="n">
        <x:f>AVERAGE(I2:I13)</x:f>
        <x:v>0.03794743731867795</x:v>
      </x:c>
    </x:row>
    <x:row r="17">
      <x:c r="A17" t="str">
        <x:v>SES 0.3</x:v>
      </x:c>
      <x:c r="B17" s="10" t="n">
        <x:f>AVERAGE(J2:J13)</x:f>
        <x:v>0.0389047955278942</x:v>
      </x:c>
    </x:row>
    <x:row r="18">
      <x:c r="A18" t="str">
        <x:v>SES 0.6</x:v>
      </x:c>
      <x:c r="B18" s="10" t="n">
        <x:f>AVERAGE(K2:K13)</x:f>
        <x:v>0.03908800083238331</x:v>
      </x:c>
    </x:row>
    <x:row r="19">
      <x:c r="A19" t="str">
        <x:v>Seasonal Naive</x:v>
      </x:c>
      <x:c r="B19" s="10" t="n">
        <x:f>AVERAGE(L2:L13)</x:f>
        <x:v>0.03524151385978667</x:v>
      </x:c>
    </x:row>
  </x:sheetData>
  <x:pageMargins left="0.7" right="0.7" top="0.75" bottom="0.75" header="0.3" footer="0.3"/>
  <x:drawing xmlns:r="http://schemas.openxmlformats.org/officeDocument/2006/relationships" r:id="Rba0a974f8a3e42b1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6" hidden="0" customWidth="1"/>
    <x:col min="4" max="4" width="12" hidden="0" customWidth="1"/>
    <x:col min="5" max="5" width="13" hidden="0" customWidth="1"/>
    <x:col min="6" max="6" width="12" hidden="0" customWidth="1"/>
    <x:col min="7" max="7" width="14" hidden="0" customWidth="1"/>
    <x:col min="8" max="8" width="14" hidden="0" customWidth="1"/>
    <x:col min="9" max="9" width="10" hidden="0" customWidth="1"/>
  </x:cols>
  <x:sheetData>
    <x:row r="1">
      <x:c r="A1" s="12" t="str">
        <x:v>Store</x:v>
      </x:c>
      <x:c r="B1" s="12" t="str">
        <x:v>Date</x:v>
      </x:c>
      <x:c r="C1" s="12" t="str">
        <x:v>Weekly_Sales</x:v>
      </x:c>
      <x:c r="D1" s="12" t="str">
        <x:v>Holiday_Flag</x:v>
      </x:c>
      <x:c r="E1" s="12" t="str">
        <x:v>Temperature</x:v>
      </x:c>
      <x:c r="F1" s="12" t="str">
        <x:v>Fuel_Price</x:v>
      </x:c>
      <x:c r="G1" s="12" t="str">
        <x:v>CPI</x:v>
      </x:c>
      <x:c r="H1" s="12" t="str">
        <x:v>Unemployment</x:v>
      </x:c>
      <x:c r="I1" s="12" t="str">
        <x:v>Split</x:v>
      </x:c>
    </x:row>
    <x:row r="2">
      <x:c r="A2" t="n">
        <x:v>1</x:v>
      </x:c>
      <x:c r="B2" s="38" t="n">
        <x:v>40214</x:v>
      </x:c>
      <x:c r="C2" s="40" t="n">
        <x:v>1643690.9</x:v>
      </x:c>
      <x:c r="D2" t="n">
        <x:v>0</x:v>
      </x:c>
      <x:c r="E2" t="n">
        <x:v>42.31</x:v>
      </x:c>
      <x:c r="F2" t="n">
        <x:v>2.572</x:v>
      </x:c>
      <x:c r="G2" t="n">
        <x:v>211.0963582</x:v>
      </x:c>
      <x:c r="H2" t="n">
        <x:v>8.106</x:v>
      </x:c>
      <x:c r="I2" t="str">
        <x:v>Train</x:v>
      </x:c>
    </x:row>
    <x:row r="3">
      <x:c r="A3" t="n">
        <x:v>1</x:v>
      </x:c>
      <x:c r="B3" s="38" t="n">
        <x:v>40221</x:v>
      </x:c>
      <x:c r="C3" s="40" t="n">
        <x:v>1641957.44</x:v>
      </x:c>
      <x:c r="D3" t="n">
        <x:v>1</x:v>
      </x:c>
      <x:c r="E3" t="n">
        <x:v>38.51</x:v>
      </x:c>
      <x:c r="F3" t="n">
        <x:v>2.548</x:v>
      </x:c>
      <x:c r="G3" t="n">
        <x:v>211.2421698</x:v>
      </x:c>
      <x:c r="H3" t="n">
        <x:v>8.106</x:v>
      </x:c>
      <x:c r="I3" t="str">
        <x:v>Train</x:v>
      </x:c>
    </x:row>
    <x:row r="4">
      <x:c r="A4" t="n">
        <x:v>1</x:v>
      </x:c>
      <x:c r="B4" s="38" t="n">
        <x:v>40228</x:v>
      </x:c>
      <x:c r="C4" s="40" t="n">
        <x:v>1611968.17</x:v>
      </x:c>
      <x:c r="D4" t="n">
        <x:v>0</x:v>
      </x:c>
      <x:c r="E4" t="n">
        <x:v>39.93</x:v>
      </x:c>
      <x:c r="F4" t="n">
        <x:v>2.514</x:v>
      </x:c>
      <x:c r="G4" t="n">
        <x:v>211.2891429</x:v>
      </x:c>
      <x:c r="H4" t="n">
        <x:v>8.106</x:v>
      </x:c>
      <x:c r="I4" t="str">
        <x:v>Train</x:v>
      </x:c>
    </x:row>
    <x:row r="5">
      <x:c r="A5" t="n">
        <x:v>1</x:v>
      </x:c>
      <x:c r="B5" s="38" t="n">
        <x:v>40235</x:v>
      </x:c>
      <x:c r="C5" s="40" t="n">
        <x:v>1409727.59</x:v>
      </x:c>
      <x:c r="D5" t="n">
        <x:v>0</x:v>
      </x:c>
      <x:c r="E5" t="n">
        <x:v>46.63</x:v>
      </x:c>
      <x:c r="F5" t="n">
        <x:v>2.561</x:v>
      </x:c>
      <x:c r="G5" t="n">
        <x:v>211.3196429</x:v>
      </x:c>
      <x:c r="H5" t="n">
        <x:v>8.106</x:v>
      </x:c>
      <x:c r="I5" t="str">
        <x:v>Train</x:v>
      </x:c>
    </x:row>
    <x:row r="6">
      <x:c r="A6" t="n">
        <x:v>1</x:v>
      </x:c>
      <x:c r="B6" s="38" t="n">
        <x:v>40242</x:v>
      </x:c>
      <x:c r="C6" s="40" t="n">
        <x:v>1554806.68</x:v>
      </x:c>
      <x:c r="D6" t="n">
        <x:v>0</x:v>
      </x:c>
      <x:c r="E6" t="n">
        <x:v>46.5</x:v>
      </x:c>
      <x:c r="F6" t="n">
        <x:v>2.625</x:v>
      </x:c>
      <x:c r="G6" t="n">
        <x:v>211.3501429</x:v>
      </x:c>
      <x:c r="H6" t="n">
        <x:v>8.106</x:v>
      </x:c>
      <x:c r="I6" t="str">
        <x:v>Train</x:v>
      </x:c>
    </x:row>
    <x:row r="7">
      <x:c r="A7" t="n">
        <x:v>1</x:v>
      </x:c>
      <x:c r="B7" s="38" t="n">
        <x:v>40249</x:v>
      </x:c>
      <x:c r="C7" s="40" t="n">
        <x:v>1439541.59</x:v>
      </x:c>
      <x:c r="D7" t="n">
        <x:v>0</x:v>
      </x:c>
      <x:c r="E7" t="n">
        <x:v>57.79</x:v>
      </x:c>
      <x:c r="F7" t="n">
        <x:v>2.667</x:v>
      </x:c>
      <x:c r="G7" t="n">
        <x:v>211.3806429</x:v>
      </x:c>
      <x:c r="H7" t="n">
        <x:v>8.106</x:v>
      </x:c>
      <x:c r="I7" t="str">
        <x:v>Train</x:v>
      </x:c>
    </x:row>
    <x:row r="8">
      <x:c r="A8" t="n">
        <x:v>1</x:v>
      </x:c>
      <x:c r="B8" s="38" t="n">
        <x:v>40256</x:v>
      </x:c>
      <x:c r="C8" s="40" t="n">
        <x:v>1472515.79</x:v>
      </x:c>
      <x:c r="D8" t="n">
        <x:v>0</x:v>
      </x:c>
      <x:c r="E8" t="n">
        <x:v>54.58</x:v>
      </x:c>
      <x:c r="F8" t="n">
        <x:v>2.72</x:v>
      </x:c>
      <x:c r="G8" t="n">
        <x:v>211.215635</x:v>
      </x:c>
      <x:c r="H8" t="n">
        <x:v>8.106</x:v>
      </x:c>
      <x:c r="I8" t="str">
        <x:v>Train</x:v>
      </x:c>
    </x:row>
    <x:row r="9">
      <x:c r="A9" t="n">
        <x:v>1</x:v>
      </x:c>
      <x:c r="B9" s="38" t="n">
        <x:v>40263</x:v>
      </x:c>
      <x:c r="C9" s="40" t="n">
        <x:v>1404429.92</x:v>
      </x:c>
      <x:c r="D9" t="n">
        <x:v>0</x:v>
      </x:c>
      <x:c r="E9" t="n">
        <x:v>51.45</x:v>
      </x:c>
      <x:c r="F9" t="n">
        <x:v>2.732</x:v>
      </x:c>
      <x:c r="G9" t="n">
        <x:v>211.0180424</x:v>
      </x:c>
      <x:c r="H9" t="n">
        <x:v>8.106</x:v>
      </x:c>
      <x:c r="I9" t="str">
        <x:v>Train</x:v>
      </x:c>
    </x:row>
    <x:row r="10">
      <x:c r="A10" t="n">
        <x:v>1</x:v>
      </x:c>
      <x:c r="B10" s="38" t="n">
        <x:v>40270</x:v>
      </x:c>
      <x:c r="C10" s="40" t="n">
        <x:v>1594968.28</x:v>
      </x:c>
      <x:c r="D10" t="n">
        <x:v>0</x:v>
      </x:c>
      <x:c r="E10" t="n">
        <x:v>62.27</x:v>
      </x:c>
      <x:c r="F10" t="n">
        <x:v>2.719</x:v>
      </x:c>
      <x:c r="G10" t="n">
        <x:v>210.8204499</x:v>
      </x:c>
      <x:c r="H10" t="n">
        <x:v>7.808</x:v>
      </x:c>
      <x:c r="I10" t="str">
        <x:v>Train</x:v>
      </x:c>
    </x:row>
    <x:row r="11">
      <x:c r="A11" t="n">
        <x:v>1</x:v>
      </x:c>
      <x:c r="B11" s="38" t="n">
        <x:v>40277</x:v>
      </x:c>
      <x:c r="C11" s="40" t="n">
        <x:v>1545418.53</x:v>
      </x:c>
      <x:c r="D11" t="n">
        <x:v>0</x:v>
      </x:c>
      <x:c r="E11" t="n">
        <x:v>65.86</x:v>
      </x:c>
      <x:c r="F11" t="n">
        <x:v>2.77</x:v>
      </x:c>
      <x:c r="G11" t="n">
        <x:v>210.6228574</x:v>
      </x:c>
      <x:c r="H11" t="n">
        <x:v>7.808</x:v>
      </x:c>
      <x:c r="I11" t="str">
        <x:v>Train</x:v>
      </x:c>
    </x:row>
    <x:row r="12">
      <x:c r="A12" t="n">
        <x:v>1</x:v>
      </x:c>
      <x:c r="B12" s="38" t="n">
        <x:v>40284</x:v>
      </x:c>
      <x:c r="C12" s="40" t="n">
        <x:v>1466058.28</x:v>
      </x:c>
      <x:c r="D12" t="n">
        <x:v>0</x:v>
      </x:c>
      <x:c r="E12" t="n">
        <x:v>66.32</x:v>
      </x:c>
      <x:c r="F12" t="n">
        <x:v>2.808</x:v>
      </x:c>
      <x:c r="G12" t="n">
        <x:v>210.4887</x:v>
      </x:c>
      <x:c r="H12" t="n">
        <x:v>7.808</x:v>
      </x:c>
      <x:c r="I12" t="str">
        <x:v>Train</x:v>
      </x:c>
    </x:row>
    <x:row r="13">
      <x:c r="A13" t="n">
        <x:v>1</x:v>
      </x:c>
      <x:c r="B13" s="38" t="n">
        <x:v>40291</x:v>
      </x:c>
      <x:c r="C13" s="40" t="n">
        <x:v>1391256.12</x:v>
      </x:c>
      <x:c r="D13" t="n">
        <x:v>0</x:v>
      </x:c>
      <x:c r="E13" t="n">
        <x:v>64.84</x:v>
      </x:c>
      <x:c r="F13" t="n">
        <x:v>2.795</x:v>
      </x:c>
      <x:c r="G13" t="n">
        <x:v>210.4391228</x:v>
      </x:c>
      <x:c r="H13" t="n">
        <x:v>7.808</x:v>
      </x:c>
      <x:c r="I13" t="str">
        <x:v>Train</x:v>
      </x:c>
    </x:row>
    <x:row r="14">
      <x:c r="A14" t="n">
        <x:v>1</x:v>
      </x:c>
      <x:c r="B14" s="38" t="n">
        <x:v>40298</x:v>
      </x:c>
      <x:c r="C14" s="40" t="n">
        <x:v>1425100.71</x:v>
      </x:c>
      <x:c r="D14" t="n">
        <x:v>0</x:v>
      </x:c>
      <x:c r="E14" t="n">
        <x:v>67.41</x:v>
      </x:c>
      <x:c r="F14" t="n">
        <x:v>2.78</x:v>
      </x:c>
      <x:c r="G14" t="n">
        <x:v>210.3895456</x:v>
      </x:c>
      <x:c r="H14" t="n">
        <x:v>7.808</x:v>
      </x:c>
      <x:c r="I14" t="str">
        <x:v>Train</x:v>
      </x:c>
    </x:row>
    <x:row r="15">
      <x:c r="A15" t="n">
        <x:v>1</x:v>
      </x:c>
      <x:c r="B15" s="38" t="n">
        <x:v>40305</x:v>
      </x:c>
      <x:c r="C15" s="40" t="n">
        <x:v>1603955.12</x:v>
      </x:c>
      <x:c r="D15" t="n">
        <x:v>0</x:v>
      </x:c>
      <x:c r="E15" t="n">
        <x:v>72.55</x:v>
      </x:c>
      <x:c r="F15" t="n">
        <x:v>2.835</x:v>
      </x:c>
      <x:c r="G15" t="n">
        <x:v>210.3399684</x:v>
      </x:c>
      <x:c r="H15" t="n">
        <x:v>7.808</x:v>
      </x:c>
      <x:c r="I15" t="str">
        <x:v>Train</x:v>
      </x:c>
    </x:row>
    <x:row r="16">
      <x:c r="A16" t="n">
        <x:v>1</x:v>
      </x:c>
      <x:c r="B16" s="38" t="n">
        <x:v>40312</x:v>
      </x:c>
      <x:c r="C16" s="40" t="n">
        <x:v>1494251.5</x:v>
      </x:c>
      <x:c r="D16" t="n">
        <x:v>0</x:v>
      </x:c>
      <x:c r="E16" t="n">
        <x:v>74.78</x:v>
      </x:c>
      <x:c r="F16" t="n">
        <x:v>2.854</x:v>
      </x:c>
      <x:c r="G16" t="n">
        <x:v>210.3374261</x:v>
      </x:c>
      <x:c r="H16" t="n">
        <x:v>7.808</x:v>
      </x:c>
      <x:c r="I16" t="str">
        <x:v>Train</x:v>
      </x:c>
    </x:row>
    <x:row r="17">
      <x:c r="A17" t="n">
        <x:v>1</x:v>
      </x:c>
      <x:c r="B17" s="38" t="n">
        <x:v>40319</x:v>
      </x:c>
      <x:c r="C17" s="40" t="n">
        <x:v>1399662.07</x:v>
      </x:c>
      <x:c r="D17" t="n">
        <x:v>0</x:v>
      </x:c>
      <x:c r="E17" t="n">
        <x:v>76.44</x:v>
      </x:c>
      <x:c r="F17" t="n">
        <x:v>2.826</x:v>
      </x:c>
      <x:c r="G17" t="n">
        <x:v>210.6170934</x:v>
      </x:c>
      <x:c r="H17" t="n">
        <x:v>7.808</x:v>
      </x:c>
      <x:c r="I17" t="str">
        <x:v>Train</x:v>
      </x:c>
    </x:row>
    <x:row r="18">
      <x:c r="A18" t="n">
        <x:v>1</x:v>
      </x:c>
      <x:c r="B18" s="38" t="n">
        <x:v>40326</x:v>
      </x:c>
      <x:c r="C18" s="40" t="n">
        <x:v>1432069.95</x:v>
      </x:c>
      <x:c r="D18" t="n">
        <x:v>0</x:v>
      </x:c>
      <x:c r="E18" t="n">
        <x:v>80.44</x:v>
      </x:c>
      <x:c r="F18" t="n">
        <x:v>2.759</x:v>
      </x:c>
      <x:c r="G18" t="n">
        <x:v>210.8967606</x:v>
      </x:c>
      <x:c r="H18" t="n">
        <x:v>7.808</x:v>
      </x:c>
      <x:c r="I18" t="str">
        <x:v>Train</x:v>
      </x:c>
    </x:row>
    <x:row r="19">
      <x:c r="A19" t="n">
        <x:v>1</x:v>
      </x:c>
      <x:c r="B19" s="38" t="n">
        <x:v>40333</x:v>
      </x:c>
      <x:c r="C19" s="40" t="n">
        <x:v>1615524.71</x:v>
      </x:c>
      <x:c r="D19" t="n">
        <x:v>0</x:v>
      </x:c>
      <x:c r="E19" t="n">
        <x:v>80.69</x:v>
      </x:c>
      <x:c r="F19" t="n">
        <x:v>2.705</x:v>
      </x:c>
      <x:c r="G19" t="n">
        <x:v>211.1764278</x:v>
      </x:c>
      <x:c r="H19" t="n">
        <x:v>7.808</x:v>
      </x:c>
      <x:c r="I19" t="str">
        <x:v>Train</x:v>
      </x:c>
    </x:row>
    <x:row r="20">
      <x:c r="A20" t="n">
        <x:v>1</x:v>
      </x:c>
      <x:c r="B20" s="38" t="n">
        <x:v>40340</x:v>
      </x:c>
      <x:c r="C20" s="40" t="n">
        <x:v>1542561.09</x:v>
      </x:c>
      <x:c r="D20" t="n">
        <x:v>0</x:v>
      </x:c>
      <x:c r="E20" t="n">
        <x:v>80.43</x:v>
      </x:c>
      <x:c r="F20" t="n">
        <x:v>2.668</x:v>
      </x:c>
      <x:c r="G20" t="n">
        <x:v>211.4560951</x:v>
      </x:c>
      <x:c r="H20" t="n">
        <x:v>7.808</x:v>
      </x:c>
      <x:c r="I20" t="str">
        <x:v>Train</x:v>
      </x:c>
    </x:row>
    <x:row r="21">
      <x:c r="A21" t="n">
        <x:v>1</x:v>
      </x:c>
      <x:c r="B21" s="38" t="n">
        <x:v>40347</x:v>
      </x:c>
      <x:c r="C21" s="40" t="n">
        <x:v>1503284.06</x:v>
      </x:c>
      <x:c r="D21" t="n">
        <x:v>0</x:v>
      </x:c>
      <x:c r="E21" t="n">
        <x:v>84.11</x:v>
      </x:c>
      <x:c r="F21" t="n">
        <x:v>2.637</x:v>
      </x:c>
      <x:c r="G21" t="n">
        <x:v>211.4537719</x:v>
      </x:c>
      <x:c r="H21" t="n">
        <x:v>7.808</x:v>
      </x:c>
      <x:c r="I21" t="str">
        <x:v>Train</x:v>
      </x:c>
    </x:row>
    <x:row r="22">
      <x:c r="A22" t="n">
        <x:v>1</x:v>
      </x:c>
      <x:c r="B22" s="38" t="n">
        <x:v>40354</x:v>
      </x:c>
      <x:c r="C22" s="40" t="n">
        <x:v>1422711.6</x:v>
      </x:c>
      <x:c r="D22" t="n">
        <x:v>0</x:v>
      </x:c>
      <x:c r="E22" t="n">
        <x:v>84.34</x:v>
      </x:c>
      <x:c r="F22" t="n">
        <x:v>2.653</x:v>
      </x:c>
      <x:c r="G22" t="n">
        <x:v>211.3386526</x:v>
      </x:c>
      <x:c r="H22" t="n">
        <x:v>7.808</x:v>
      </x:c>
      <x:c r="I22" t="str">
        <x:v>Train</x:v>
      </x:c>
    </x:row>
    <x:row r="23">
      <x:c r="A23" t="n">
        <x:v>1</x:v>
      </x:c>
      <x:c r="B23" s="38" t="n">
        <x:v>40361</x:v>
      </x:c>
      <x:c r="C23" s="40" t="n">
        <x:v>1492418.14</x:v>
      </x:c>
      <x:c r="D23" t="n">
        <x:v>0</x:v>
      </x:c>
      <x:c r="E23" t="n">
        <x:v>80.91</x:v>
      </x:c>
      <x:c r="F23" t="n">
        <x:v>2.669</x:v>
      </x:c>
      <x:c r="G23" t="n">
        <x:v>211.2235333</x:v>
      </x:c>
      <x:c r="H23" t="n">
        <x:v>7.787</x:v>
      </x:c>
      <x:c r="I23" t="str">
        <x:v>Train</x:v>
      </x:c>
    </x:row>
    <x:row r="24">
      <x:c r="A24" t="n">
        <x:v>1</x:v>
      </x:c>
      <x:c r="B24" s="38" t="n">
        <x:v>40368</x:v>
      </x:c>
      <x:c r="C24" s="40" t="n">
        <x:v>1546074.18</x:v>
      </x:c>
      <x:c r="D24" t="n">
        <x:v>0</x:v>
      </x:c>
      <x:c r="E24" t="n">
        <x:v>80.48</x:v>
      </x:c>
      <x:c r="F24" t="n">
        <x:v>2.642</x:v>
      </x:c>
      <x:c r="G24" t="n">
        <x:v>211.108414</x:v>
      </x:c>
      <x:c r="H24" t="n">
        <x:v>7.787</x:v>
      </x:c>
      <x:c r="I24" t="str">
        <x:v>Train</x:v>
      </x:c>
    </x:row>
    <x:row r="25">
      <x:c r="A25" t="n">
        <x:v>1</x:v>
      </x:c>
      <x:c r="B25" s="38" t="n">
        <x:v>40375</x:v>
      </x:c>
      <x:c r="C25" s="40" t="n">
        <x:v>1448938.92</x:v>
      </x:c>
      <x:c r="D25" t="n">
        <x:v>0</x:v>
      </x:c>
      <x:c r="E25" t="n">
        <x:v>83.15</x:v>
      </x:c>
      <x:c r="F25" t="n">
        <x:v>2.623</x:v>
      </x:c>
      <x:c r="G25" t="n">
        <x:v>211.1003854</x:v>
      </x:c>
      <x:c r="H25" t="n">
        <x:v>7.787</x:v>
      </x:c>
      <x:c r="I25" t="str">
        <x:v>Train</x:v>
      </x:c>
    </x:row>
    <x:row r="26">
      <x:c r="A26" t="n">
        <x:v>1</x:v>
      </x:c>
      <x:c r="B26" s="38" t="n">
        <x:v>40382</x:v>
      </x:c>
      <x:c r="C26" s="40" t="n">
        <x:v>1385065.2</x:v>
      </x:c>
      <x:c r="D26" t="n">
        <x:v>0</x:v>
      </x:c>
      <x:c r="E26" t="n">
        <x:v>83.36</x:v>
      </x:c>
      <x:c r="F26" t="n">
        <x:v>2.608</x:v>
      </x:c>
      <x:c r="G26" t="n">
        <x:v>211.2351443</x:v>
      </x:c>
      <x:c r="H26" t="n">
        <x:v>7.787</x:v>
      </x:c>
      <x:c r="I26" t="str">
        <x:v>Train</x:v>
      </x:c>
    </x:row>
    <x:row r="27">
      <x:c r="A27" t="n">
        <x:v>1</x:v>
      </x:c>
      <x:c r="B27" s="38" t="n">
        <x:v>40389</x:v>
      </x:c>
      <x:c r="C27" s="40" t="n">
        <x:v>1371986.6</x:v>
      </x:c>
      <x:c r="D27" t="n">
        <x:v>0</x:v>
      </x:c>
      <x:c r="E27" t="n">
        <x:v>81.84</x:v>
      </x:c>
      <x:c r="F27" t="n">
        <x:v>2.64</x:v>
      </x:c>
      <x:c r="G27" t="n">
        <x:v>211.3699032</x:v>
      </x:c>
      <x:c r="H27" t="n">
        <x:v>7.787</x:v>
      </x:c>
      <x:c r="I27" t="str">
        <x:v>Train</x:v>
      </x:c>
    </x:row>
    <x:row r="28">
      <x:c r="A28" t="n">
        <x:v>1</x:v>
      </x:c>
      <x:c r="B28" s="38" t="n">
        <x:v>40396</x:v>
      </x:c>
      <x:c r="C28" s="40" t="n">
        <x:v>1605491.78</x:v>
      </x:c>
      <x:c r="D28" t="n">
        <x:v>0</x:v>
      </x:c>
      <x:c r="E28" t="n">
        <x:v>87.16</x:v>
      </x:c>
      <x:c r="F28" t="n">
        <x:v>2.627</x:v>
      </x:c>
      <x:c r="G28" t="n">
        <x:v>211.5046621</x:v>
      </x:c>
      <x:c r="H28" t="n">
        <x:v>7.787</x:v>
      </x:c>
      <x:c r="I28" t="str">
        <x:v>Train</x:v>
      </x:c>
    </x:row>
    <x:row r="29">
      <x:c r="A29" t="n">
        <x:v>1</x:v>
      </x:c>
      <x:c r="B29" s="38" t="n">
        <x:v>40403</x:v>
      </x:c>
      <x:c r="C29" s="40" t="n">
        <x:v>1508237.76</x:v>
      </x:c>
      <x:c r="D29" t="n">
        <x:v>0</x:v>
      </x:c>
      <x:c r="E29" t="n">
        <x:v>87</x:v>
      </x:c>
      <x:c r="F29" t="n">
        <x:v>2.692</x:v>
      </x:c>
      <x:c r="G29" t="n">
        <x:v>211.6394211</x:v>
      </x:c>
      <x:c r="H29" t="n">
        <x:v>7.787</x:v>
      </x:c>
      <x:c r="I29" t="str">
        <x:v>Train</x:v>
      </x:c>
    </x:row>
    <x:row r="30">
      <x:c r="A30" t="n">
        <x:v>1</x:v>
      </x:c>
      <x:c r="B30" s="38" t="n">
        <x:v>40410</x:v>
      </x:c>
      <x:c r="C30" s="40" t="n">
        <x:v>1513080.49</x:v>
      </x:c>
      <x:c r="D30" t="n">
        <x:v>0</x:v>
      </x:c>
      <x:c r="E30" t="n">
        <x:v>86.65</x:v>
      </x:c>
      <x:c r="F30" t="n">
        <x:v>2.664</x:v>
      </x:c>
      <x:c r="G30" t="n">
        <x:v>211.6033633</x:v>
      </x:c>
      <x:c r="H30" t="n">
        <x:v>7.787</x:v>
      </x:c>
      <x:c r="I30" t="str">
        <x:v>Train</x:v>
      </x:c>
    </x:row>
    <x:row r="31">
      <x:c r="A31" t="n">
        <x:v>1</x:v>
      </x:c>
      <x:c r="B31" s="38" t="n">
        <x:v>40417</x:v>
      </x:c>
      <x:c r="C31" s="40" t="n">
        <x:v>1449142.92</x:v>
      </x:c>
      <x:c r="D31" t="n">
        <x:v>0</x:v>
      </x:c>
      <x:c r="E31" t="n">
        <x:v>85.22</x:v>
      </x:c>
      <x:c r="F31" t="n">
        <x:v>2.619</x:v>
      </x:c>
      <x:c r="G31" t="n">
        <x:v>211.5673056</x:v>
      </x:c>
      <x:c r="H31" t="n">
        <x:v>7.787</x:v>
      </x:c>
      <x:c r="I31" t="str">
        <x:v>Train</x:v>
      </x:c>
    </x:row>
    <x:row r="32">
      <x:c r="A32" t="n">
        <x:v>1</x:v>
      </x:c>
      <x:c r="B32" s="38" t="n">
        <x:v>40424</x:v>
      </x:c>
      <x:c r="C32" s="40" t="n">
        <x:v>1540163.53</x:v>
      </x:c>
      <x:c r="D32" t="n">
        <x:v>0</x:v>
      </x:c>
      <x:c r="E32" t="n">
        <x:v>81.21</x:v>
      </x:c>
      <x:c r="F32" t="n">
        <x:v>2.577</x:v>
      </x:c>
      <x:c r="G32" t="n">
        <x:v>211.5312479</x:v>
      </x:c>
      <x:c r="H32" t="n">
        <x:v>7.787</x:v>
      </x:c>
      <x:c r="I32" t="str">
        <x:v>Train</x:v>
      </x:c>
    </x:row>
    <x:row r="33">
      <x:c r="A33" t="n">
        <x:v>1</x:v>
      </x:c>
      <x:c r="B33" s="38" t="n">
        <x:v>40431</x:v>
      </x:c>
      <x:c r="C33" s="40" t="n">
        <x:v>1507460.69</x:v>
      </x:c>
      <x:c r="D33" t="n">
        <x:v>1</x:v>
      </x:c>
      <x:c r="E33" t="n">
        <x:v>78.69</x:v>
      </x:c>
      <x:c r="F33" t="n">
        <x:v>2.565</x:v>
      </x:c>
      <x:c r="G33" t="n">
        <x:v>211.4951902</x:v>
      </x:c>
      <x:c r="H33" t="n">
        <x:v>7.787</x:v>
      </x:c>
      <x:c r="I33" t="str">
        <x:v>Train</x:v>
      </x:c>
    </x:row>
    <x:row r="34">
      <x:c r="A34" t="n">
        <x:v>1</x:v>
      </x:c>
      <x:c r="B34" s="38" t="n">
        <x:v>40438</x:v>
      </x:c>
      <x:c r="C34" s="40" t="n">
        <x:v>1430378.67</x:v>
      </x:c>
      <x:c r="D34" t="n">
        <x:v>0</x:v>
      </x:c>
      <x:c r="E34" t="n">
        <x:v>82.11</x:v>
      </x:c>
      <x:c r="F34" t="n">
        <x:v>2.582</x:v>
      </x:c>
      <x:c r="G34" t="n">
        <x:v>211.5224596</x:v>
      </x:c>
      <x:c r="H34" t="n">
        <x:v>7.787</x:v>
      </x:c>
      <x:c r="I34" t="str">
        <x:v>Train</x:v>
      </x:c>
    </x:row>
    <x:row r="35">
      <x:c r="A35" t="n">
        <x:v>1</x:v>
      </x:c>
      <x:c r="B35" s="38" t="n">
        <x:v>40445</x:v>
      </x:c>
      <x:c r="C35" s="40" t="n">
        <x:v>1351791.03</x:v>
      </x:c>
      <x:c r="D35" t="n">
        <x:v>0</x:v>
      </x:c>
      <x:c r="E35" t="n">
        <x:v>80.94</x:v>
      </x:c>
      <x:c r="F35" t="n">
        <x:v>2.624</x:v>
      </x:c>
      <x:c r="G35" t="n">
        <x:v>211.5972246</x:v>
      </x:c>
      <x:c r="H35" t="n">
        <x:v>7.787</x:v>
      </x:c>
      <x:c r="I35" t="str">
        <x:v>Train</x:v>
      </x:c>
    </x:row>
    <x:row r="36">
      <x:c r="A36" t="n">
        <x:v>1</x:v>
      </x:c>
      <x:c r="B36" s="38" t="n">
        <x:v>40452</x:v>
      </x:c>
      <x:c r="C36" s="40" t="n">
        <x:v>1453329.5</x:v>
      </x:c>
      <x:c r="D36" t="n">
        <x:v>0</x:v>
      </x:c>
      <x:c r="E36" t="n">
        <x:v>71.89</x:v>
      </x:c>
      <x:c r="F36" t="n">
        <x:v>2.603</x:v>
      </x:c>
      <x:c r="G36" t="n">
        <x:v>211.6719895</x:v>
      </x:c>
      <x:c r="H36" t="n">
        <x:v>7.838</x:v>
      </x:c>
      <x:c r="I36" t="str">
        <x:v>Train</x:v>
      </x:c>
    </x:row>
    <x:row r="37">
      <x:c r="A37" t="n">
        <x:v>1</x:v>
      </x:c>
      <x:c r="B37" s="38" t="n">
        <x:v>40459</x:v>
      </x:c>
      <x:c r="C37" s="40" t="n">
        <x:v>1508239.93</x:v>
      </x:c>
      <x:c r="D37" t="n">
        <x:v>0</x:v>
      </x:c>
      <x:c r="E37" t="n">
        <x:v>63.93</x:v>
      </x:c>
      <x:c r="F37" t="n">
        <x:v>2.633</x:v>
      </x:c>
      <x:c r="G37" t="n">
        <x:v>211.7467544</x:v>
      </x:c>
      <x:c r="H37" t="n">
        <x:v>7.838</x:v>
      </x:c>
      <x:c r="I37" t="str">
        <x:v>Train</x:v>
      </x:c>
    </x:row>
    <x:row r="38">
      <x:c r="A38" t="n">
        <x:v>1</x:v>
      </x:c>
      <x:c r="B38" s="38" t="n">
        <x:v>40466</x:v>
      </x:c>
      <x:c r="C38" s="40" t="n">
        <x:v>1459409.1</x:v>
      </x:c>
      <x:c r="D38" t="n">
        <x:v>0</x:v>
      </x:c>
      <x:c r="E38" t="n">
        <x:v>67.18</x:v>
      </x:c>
      <x:c r="F38" t="n">
        <x:v>2.72</x:v>
      </x:c>
      <x:c r="G38" t="n">
        <x:v>211.8137436</x:v>
      </x:c>
      <x:c r="H38" t="n">
        <x:v>7.838</x:v>
      </x:c>
      <x:c r="I38" t="str">
        <x:v>Train</x:v>
      </x:c>
    </x:row>
    <x:row r="39">
      <x:c r="A39" t="n">
        <x:v>1</x:v>
      </x:c>
      <x:c r="B39" s="38" t="n">
        <x:v>40473</x:v>
      </x:c>
      <x:c r="C39" s="40" t="n">
        <x:v>1345454</x:v>
      </x:c>
      <x:c r="D39" t="n">
        <x:v>0</x:v>
      </x:c>
      <x:c r="E39" t="n">
        <x:v>69.86</x:v>
      </x:c>
      <x:c r="F39" t="n">
        <x:v>2.725</x:v>
      </x:c>
      <x:c r="G39" t="n">
        <x:v>211.8612937</x:v>
      </x:c>
      <x:c r="H39" t="n">
        <x:v>7.838</x:v>
      </x:c>
      <x:c r="I39" t="str">
        <x:v>Train</x:v>
      </x:c>
    </x:row>
    <x:row r="40">
      <x:c r="A40" t="n">
        <x:v>1</x:v>
      </x:c>
      <x:c r="B40" s="38" t="n">
        <x:v>40480</x:v>
      </x:c>
      <x:c r="C40" s="40" t="n">
        <x:v>1384209.22</x:v>
      </x:c>
      <x:c r="D40" t="n">
        <x:v>0</x:v>
      </x:c>
      <x:c r="E40" t="n">
        <x:v>69.64</x:v>
      </x:c>
      <x:c r="F40" t="n">
        <x:v>2.716</x:v>
      </x:c>
      <x:c r="G40" t="n">
        <x:v>211.9088438</x:v>
      </x:c>
      <x:c r="H40" t="n">
        <x:v>7.838</x:v>
      </x:c>
      <x:c r="I40" t="str">
        <x:v>Train</x:v>
      </x:c>
    </x:row>
    <x:row r="41">
      <x:c r="A41" t="n">
        <x:v>1</x:v>
      </x:c>
      <x:c r="B41" s="38" t="n">
        <x:v>40487</x:v>
      </x:c>
      <x:c r="C41" s="40" t="n">
        <x:v>1551659.28</x:v>
      </x:c>
      <x:c r="D41" t="n">
        <x:v>0</x:v>
      </x:c>
      <x:c r="E41" t="n">
        <x:v>58.74</x:v>
      </x:c>
      <x:c r="F41" t="n">
        <x:v>2.689</x:v>
      </x:c>
      <x:c r="G41" t="n">
        <x:v>211.9563939</x:v>
      </x:c>
      <x:c r="H41" t="n">
        <x:v>7.838</x:v>
      </x:c>
      <x:c r="I41" t="str">
        <x:v>Train</x:v>
      </x:c>
    </x:row>
    <x:row r="42">
      <x:c r="A42" t="n">
        <x:v>1</x:v>
      </x:c>
      <x:c r="B42" s="38" t="n">
        <x:v>40494</x:v>
      </x:c>
      <x:c r="C42" s="40" t="n">
        <x:v>1494479.49</x:v>
      </x:c>
      <x:c r="D42" t="n">
        <x:v>0</x:v>
      </x:c>
      <x:c r="E42" t="n">
        <x:v>59.61</x:v>
      </x:c>
      <x:c r="F42" t="n">
        <x:v>2.728</x:v>
      </x:c>
      <x:c r="G42" t="n">
        <x:v>212.003944</x:v>
      </x:c>
      <x:c r="H42" t="n">
        <x:v>7.838</x:v>
      </x:c>
      <x:c r="I42" t="str">
        <x:v>Train</x:v>
      </x:c>
    </x:row>
    <x:row r="43">
      <x:c r="A43" t="n">
        <x:v>1</x:v>
      </x:c>
      <x:c r="B43" s="38" t="n">
        <x:v>40501</x:v>
      </x:c>
      <x:c r="C43" s="40" t="n">
        <x:v>1483784.18</x:v>
      </x:c>
      <x:c r="D43" t="n">
        <x:v>0</x:v>
      </x:c>
      <x:c r="E43" t="n">
        <x:v>51.41</x:v>
      </x:c>
      <x:c r="F43" t="n">
        <x:v>2.771</x:v>
      </x:c>
      <x:c r="G43" t="n">
        <x:v>211.8896737</x:v>
      </x:c>
      <x:c r="H43" t="n">
        <x:v>7.838</x:v>
      </x:c>
      <x:c r="I43" t="str">
        <x:v>Train</x:v>
      </x:c>
    </x:row>
    <x:row r="44">
      <x:c r="A44" t="n">
        <x:v>1</x:v>
      </x:c>
      <x:c r="B44" s="38" t="n">
        <x:v>40508</x:v>
      </x:c>
      <x:c r="C44" s="40" t="n">
        <x:v>1955624.11</x:v>
      </x:c>
      <x:c r="D44" t="n">
        <x:v>1</x:v>
      </x:c>
      <x:c r="E44" t="n">
        <x:v>64.52</x:v>
      </x:c>
      <x:c r="F44" t="n">
        <x:v>2.735</x:v>
      </x:c>
      <x:c r="G44" t="n">
        <x:v>211.7484333</x:v>
      </x:c>
      <x:c r="H44" t="n">
        <x:v>7.838</x:v>
      </x:c>
      <x:c r="I44" t="str">
        <x:v>Train</x:v>
      </x:c>
    </x:row>
    <x:row r="45">
      <x:c r="A45" t="n">
        <x:v>1</x:v>
      </x:c>
      <x:c r="B45" s="38" t="n">
        <x:v>40515</x:v>
      </x:c>
      <x:c r="C45" s="40" t="n">
        <x:v>1548033.78</x:v>
      </x:c>
      <x:c r="D45" t="n">
        <x:v>0</x:v>
      </x:c>
      <x:c r="E45" t="n">
        <x:v>49.27</x:v>
      </x:c>
      <x:c r="F45" t="n">
        <x:v>2.708</x:v>
      </x:c>
      <x:c r="G45" t="n">
        <x:v>211.607193</x:v>
      </x:c>
      <x:c r="H45" t="n">
        <x:v>7.838</x:v>
      </x:c>
      <x:c r="I45" t="str">
        <x:v>Train</x:v>
      </x:c>
    </x:row>
    <x:row r="46">
      <x:c r="A46" t="n">
        <x:v>1</x:v>
      </x:c>
      <x:c r="B46" s="38" t="n">
        <x:v>40522</x:v>
      </x:c>
      <x:c r="C46" s="40" t="n">
        <x:v>1682614.26</x:v>
      </x:c>
      <x:c r="D46" t="n">
        <x:v>0</x:v>
      </x:c>
      <x:c r="E46" t="n">
        <x:v>46.33</x:v>
      </x:c>
      <x:c r="F46" t="n">
        <x:v>2.843</x:v>
      </x:c>
      <x:c r="G46" t="n">
        <x:v>211.4659526</x:v>
      </x:c>
      <x:c r="H46" t="n">
        <x:v>7.838</x:v>
      </x:c>
      <x:c r="I46" t="str">
        <x:v>Train</x:v>
      </x:c>
    </x:row>
    <x:row r="47">
      <x:c r="A47" t="n">
        <x:v>1</x:v>
      </x:c>
      <x:c r="B47" s="38" t="n">
        <x:v>40529</x:v>
      </x:c>
      <x:c r="C47" s="40" t="n">
        <x:v>1891034.93</x:v>
      </x:c>
      <x:c r="D47" t="n">
        <x:v>0</x:v>
      </x:c>
      <x:c r="E47" t="n">
        <x:v>49.84</x:v>
      </x:c>
      <x:c r="F47" t="n">
        <x:v>2.869</x:v>
      </x:c>
      <x:c r="G47" t="n">
        <x:v>211.4053124</x:v>
      </x:c>
      <x:c r="H47" t="n">
        <x:v>7.838</x:v>
      </x:c>
      <x:c r="I47" t="str">
        <x:v>Train</x:v>
      </x:c>
    </x:row>
    <x:row r="48">
      <x:c r="A48" t="n">
        <x:v>1</x:v>
      </x:c>
      <x:c r="B48" s="38" t="n">
        <x:v>40536</x:v>
      </x:c>
      <x:c r="C48" s="40" t="n">
        <x:v>2387950.2</x:v>
      </x:c>
      <x:c r="D48" t="n">
        <x:v>0</x:v>
      </x:c>
      <x:c r="E48" t="n">
        <x:v>52.33</x:v>
      </x:c>
      <x:c r="F48" t="n">
        <x:v>2.886</x:v>
      </x:c>
      <x:c r="G48" t="n">
        <x:v>211.4051222</x:v>
      </x:c>
      <x:c r="H48" t="n">
        <x:v>7.838</x:v>
      </x:c>
      <x:c r="I48" t="str">
        <x:v>Train</x:v>
      </x:c>
    </x:row>
    <x:row r="49">
      <x:c r="A49" t="n">
        <x:v>1</x:v>
      </x:c>
      <x:c r="B49" s="38" t="n">
        <x:v>40543</x:v>
      </x:c>
      <x:c r="C49" s="40" t="n">
        <x:v>1367320.01</x:v>
      </x:c>
      <x:c r="D49" t="n">
        <x:v>1</x:v>
      </x:c>
      <x:c r="E49" t="n">
        <x:v>48.43</x:v>
      </x:c>
      <x:c r="F49" t="n">
        <x:v>2.943</x:v>
      </x:c>
      <x:c r="G49" t="n">
        <x:v>211.4049321</x:v>
      </x:c>
      <x:c r="H49" t="n">
        <x:v>7.838</x:v>
      </x:c>
      <x:c r="I49" t="str">
        <x:v>Train</x:v>
      </x:c>
    </x:row>
    <x:row r="50">
      <x:c r="A50" t="n">
        <x:v>1</x:v>
      </x:c>
      <x:c r="B50" s="38" t="n">
        <x:v>40550</x:v>
      </x:c>
      <x:c r="C50" s="40" t="n">
        <x:v>1444732.28</x:v>
      </x:c>
      <x:c r="D50" t="n">
        <x:v>0</x:v>
      </x:c>
      <x:c r="E50" t="n">
        <x:v>48.27</x:v>
      </x:c>
      <x:c r="F50" t="n">
        <x:v>2.976</x:v>
      </x:c>
      <x:c r="G50" t="n">
        <x:v>211.4047419</x:v>
      </x:c>
      <x:c r="H50" t="n">
        <x:v>7.742</x:v>
      </x:c>
      <x:c r="I50" t="str">
        <x:v>Train</x:v>
      </x:c>
    </x:row>
    <x:row r="51">
      <x:c r="A51" t="n">
        <x:v>1</x:v>
      </x:c>
      <x:c r="B51" s="38" t="n">
        <x:v>40557</x:v>
      </x:c>
      <x:c r="C51" s="40" t="n">
        <x:v>1391013.96</x:v>
      </x:c>
      <x:c r="D51" t="n">
        <x:v>0</x:v>
      </x:c>
      <x:c r="E51" t="n">
        <x:v>35.4</x:v>
      </x:c>
      <x:c r="F51" t="n">
        <x:v>2.983</x:v>
      </x:c>
      <x:c r="G51" t="n">
        <x:v>211.4574109</x:v>
      </x:c>
      <x:c r="H51" t="n">
        <x:v>7.742</x:v>
      </x:c>
      <x:c r="I51" t="str">
        <x:v>Train</x:v>
      </x:c>
    </x:row>
    <x:row r="52">
      <x:c r="A52" t="n">
        <x:v>1</x:v>
      </x:c>
      <x:c r="B52" s="38" t="n">
        <x:v>40564</x:v>
      </x:c>
      <x:c r="C52" s="40" t="n">
        <x:v>1327405.42</x:v>
      </x:c>
      <x:c r="D52" t="n">
        <x:v>0</x:v>
      </x:c>
      <x:c r="E52" t="n">
        <x:v>44.04</x:v>
      </x:c>
      <x:c r="F52" t="n">
        <x:v>3.016</x:v>
      </x:c>
      <x:c r="G52" t="n">
        <x:v>211.8272343</x:v>
      </x:c>
      <x:c r="H52" t="n">
        <x:v>7.742</x:v>
      </x:c>
      <x:c r="I52" t="str">
        <x:v>Train</x:v>
      </x:c>
    </x:row>
    <x:row r="53">
      <x:c r="A53" t="n">
        <x:v>1</x:v>
      </x:c>
      <x:c r="B53" s="38" t="n">
        <x:v>40571</x:v>
      </x:c>
      <x:c r="C53" s="40" t="n">
        <x:v>1316899.31</x:v>
      </x:c>
      <x:c r="D53" t="n">
        <x:v>0</x:v>
      </x:c>
      <x:c r="E53" t="n">
        <x:v>43.83</x:v>
      </x:c>
      <x:c r="F53" t="n">
        <x:v>3.01</x:v>
      </x:c>
      <x:c r="G53" t="n">
        <x:v>212.1970577</x:v>
      </x:c>
      <x:c r="H53" t="n">
        <x:v>7.742</x:v>
      </x:c>
      <x:c r="I53" t="str">
        <x:v>Train</x:v>
      </x:c>
    </x:row>
    <x:row r="54">
      <x:c r="A54" t="n">
        <x:v>1</x:v>
      </x:c>
      <x:c r="B54" s="38" t="n">
        <x:v>40578</x:v>
      </x:c>
      <x:c r="C54" s="40" t="n">
        <x:v>1606629.58</x:v>
      </x:c>
      <x:c r="D54" t="n">
        <x:v>0</x:v>
      </x:c>
      <x:c r="E54" t="n">
        <x:v>42.27</x:v>
      </x:c>
      <x:c r="F54" t="n">
        <x:v>2.989</x:v>
      </x:c>
      <x:c r="G54" t="n">
        <x:v>212.5668812</x:v>
      </x:c>
      <x:c r="H54" t="n">
        <x:v>7.742</x:v>
      </x:c>
      <x:c r="I54" t="str">
        <x:v>Train</x:v>
      </x:c>
    </x:row>
    <x:row r="55">
      <x:c r="A55" t="n">
        <x:v>1</x:v>
      </x:c>
      <x:c r="B55" s="38" t="n">
        <x:v>40585</x:v>
      </x:c>
      <x:c r="C55" s="40" t="n">
        <x:v>1649614.93</x:v>
      </x:c>
      <x:c r="D55" t="n">
        <x:v>1</x:v>
      </x:c>
      <x:c r="E55" t="n">
        <x:v>36.39</x:v>
      </x:c>
      <x:c r="F55" t="n">
        <x:v>3.022</x:v>
      </x:c>
      <x:c r="G55" t="n">
        <x:v>212.9367046</x:v>
      </x:c>
      <x:c r="H55" t="n">
        <x:v>7.742</x:v>
      </x:c>
      <x:c r="I55" t="str">
        <x:v>Train</x:v>
      </x:c>
    </x:row>
    <x:row r="56">
      <x:c r="A56" t="n">
        <x:v>1</x:v>
      </x:c>
      <x:c r="B56" s="38" t="n">
        <x:v>40592</x:v>
      </x:c>
      <x:c r="C56" s="40" t="n">
        <x:v>1686842.78</x:v>
      </x:c>
      <x:c r="D56" t="n">
        <x:v>0</x:v>
      </x:c>
      <x:c r="E56" t="n">
        <x:v>57.36</x:v>
      </x:c>
      <x:c r="F56" t="n">
        <x:v>3.045</x:v>
      </x:c>
      <x:c r="G56" t="n">
        <x:v>213.2478853</x:v>
      </x:c>
      <x:c r="H56" t="n">
        <x:v>7.742</x:v>
      </x:c>
      <x:c r="I56" t="str">
        <x:v>Train</x:v>
      </x:c>
    </x:row>
    <x:row r="57">
      <x:c r="A57" t="n">
        <x:v>1</x:v>
      </x:c>
      <x:c r="B57" s="38" t="n">
        <x:v>40599</x:v>
      </x:c>
      <x:c r="C57" s="40" t="n">
        <x:v>1456800.28</x:v>
      </x:c>
      <x:c r="D57" t="n">
        <x:v>0</x:v>
      </x:c>
      <x:c r="E57" t="n">
        <x:v>62.9</x:v>
      </x:c>
      <x:c r="F57" t="n">
        <x:v>3.065</x:v>
      </x:c>
      <x:c r="G57" t="n">
        <x:v>213.535609</x:v>
      </x:c>
      <x:c r="H57" t="n">
        <x:v>7.742</x:v>
      </x:c>
      <x:c r="I57" t="str">
        <x:v>Train</x:v>
      </x:c>
    </x:row>
    <x:row r="58">
      <x:c r="A58" t="n">
        <x:v>1</x:v>
      </x:c>
      <x:c r="B58" s="38" t="n">
        <x:v>40606</x:v>
      </x:c>
      <x:c r="C58" s="40" t="n">
        <x:v>1636263.41</x:v>
      </x:c>
      <x:c r="D58" t="n">
        <x:v>0</x:v>
      </x:c>
      <x:c r="E58" t="n">
        <x:v>59.58</x:v>
      </x:c>
      <x:c r="F58" t="n">
        <x:v>3.288</x:v>
      </x:c>
      <x:c r="G58" t="n">
        <x:v>213.8233327</x:v>
      </x:c>
      <x:c r="H58" t="n">
        <x:v>7.742</x:v>
      </x:c>
      <x:c r="I58" t="str">
        <x:v>Train</x:v>
      </x:c>
    </x:row>
    <x:row r="59">
      <x:c r="A59" t="n">
        <x:v>1</x:v>
      </x:c>
      <x:c r="B59" s="38" t="n">
        <x:v>40613</x:v>
      </x:c>
      <x:c r="C59" s="40" t="n">
        <x:v>1553191.63</x:v>
      </x:c>
      <x:c r="D59" t="n">
        <x:v>0</x:v>
      </x:c>
      <x:c r="E59" t="n">
        <x:v>53.56</x:v>
      </x:c>
      <x:c r="F59" t="n">
        <x:v>3.459</x:v>
      </x:c>
      <x:c r="G59" t="n">
        <x:v>214.1110564</x:v>
      </x:c>
      <x:c r="H59" t="n">
        <x:v>7.742</x:v>
      </x:c>
      <x:c r="I59" t="str">
        <x:v>Train</x:v>
      </x:c>
    </x:row>
    <x:row r="60">
      <x:c r="A60" t="n">
        <x:v>1</x:v>
      </x:c>
      <x:c r="B60" s="38" t="n">
        <x:v>40620</x:v>
      </x:c>
      <x:c r="C60" s="40" t="n">
        <x:v>1576818.06</x:v>
      </x:c>
      <x:c r="D60" t="n">
        <x:v>0</x:v>
      </x:c>
      <x:c r="E60" t="n">
        <x:v>62.76</x:v>
      </x:c>
      <x:c r="F60" t="n">
        <x:v>3.488</x:v>
      </x:c>
      <x:c r="G60" t="n">
        <x:v>214.3627114</x:v>
      </x:c>
      <x:c r="H60" t="n">
        <x:v>7.742</x:v>
      </x:c>
      <x:c r="I60" t="str">
        <x:v>Train</x:v>
      </x:c>
    </x:row>
    <x:row r="61">
      <x:c r="A61" t="n">
        <x:v>1</x:v>
      </x:c>
      <x:c r="B61" s="38" t="n">
        <x:v>40627</x:v>
      </x:c>
      <x:c r="C61" s="40" t="n">
        <x:v>1541102.38</x:v>
      </x:c>
      <x:c r="D61" t="n">
        <x:v>0</x:v>
      </x:c>
      <x:c r="E61" t="n">
        <x:v>69.97</x:v>
      </x:c>
      <x:c r="F61" t="n">
        <x:v>3.473</x:v>
      </x:c>
      <x:c r="G61" t="n">
        <x:v>214.5999389</x:v>
      </x:c>
      <x:c r="H61" t="n">
        <x:v>7.742</x:v>
      </x:c>
      <x:c r="I61" t="str">
        <x:v>Train</x:v>
      </x:c>
    </x:row>
    <x:row r="62">
      <x:c r="A62" t="n">
        <x:v>1</x:v>
      </x:c>
      <x:c r="B62" s="38" t="n">
        <x:v>40634</x:v>
      </x:c>
      <x:c r="C62" s="40" t="n">
        <x:v>1495064.75</x:v>
      </x:c>
      <x:c r="D62" t="n">
        <x:v>0</x:v>
      </x:c>
      <x:c r="E62" t="n">
        <x:v>59.17</x:v>
      </x:c>
      <x:c r="F62" t="n">
        <x:v>3.524</x:v>
      </x:c>
      <x:c r="G62" t="n">
        <x:v>214.8371664</x:v>
      </x:c>
      <x:c r="H62" t="n">
        <x:v>7.682</x:v>
      </x:c>
      <x:c r="I62" t="str">
        <x:v>Train</x:v>
      </x:c>
    </x:row>
    <x:row r="63">
      <x:c r="A63" t="n">
        <x:v>1</x:v>
      </x:c>
      <x:c r="B63" s="38" t="n">
        <x:v>40641</x:v>
      </x:c>
      <x:c r="C63" s="40" t="n">
        <x:v>1614259.35</x:v>
      </x:c>
      <x:c r="D63" t="n">
        <x:v>0</x:v>
      </x:c>
      <x:c r="E63" t="n">
        <x:v>67.84</x:v>
      </x:c>
      <x:c r="F63" t="n">
        <x:v>3.622</x:v>
      </x:c>
      <x:c r="G63" t="n">
        <x:v>215.0743939</x:v>
      </x:c>
      <x:c r="H63" t="n">
        <x:v>7.682</x:v>
      </x:c>
      <x:c r="I63" t="str">
        <x:v>Train</x:v>
      </x:c>
    </x:row>
    <x:row r="64">
      <x:c r="A64" t="n">
        <x:v>1</x:v>
      </x:c>
      <x:c r="B64" s="38" t="n">
        <x:v>40648</x:v>
      </x:c>
      <x:c r="C64" s="40" t="n">
        <x:v>1559889</x:v>
      </x:c>
      <x:c r="D64" t="n">
        <x:v>0</x:v>
      </x:c>
      <x:c r="E64" t="n">
        <x:v>71.27</x:v>
      </x:c>
      <x:c r="F64" t="n">
        <x:v>3.743</x:v>
      </x:c>
      <x:c r="G64" t="n">
        <x:v>215.2918561</x:v>
      </x:c>
      <x:c r="H64" t="n">
        <x:v>7.682</x:v>
      </x:c>
      <x:c r="I64" t="str">
        <x:v>Train</x:v>
      </x:c>
    </x:row>
    <x:row r="65">
      <x:c r="A65" t="n">
        <x:v>1</x:v>
      </x:c>
      <x:c r="B65" s="38" t="n">
        <x:v>40655</x:v>
      </x:c>
      <x:c r="C65" s="40" t="n">
        <x:v>1564819.81</x:v>
      </x:c>
      <x:c r="D65" t="n">
        <x:v>0</x:v>
      </x:c>
      <x:c r="E65" t="n">
        <x:v>72.99</x:v>
      </x:c>
      <x:c r="F65" t="n">
        <x:v>3.807</x:v>
      </x:c>
      <x:c r="G65" t="n">
        <x:v>215.4599053</x:v>
      </x:c>
      <x:c r="H65" t="n">
        <x:v>7.682</x:v>
      </x:c>
      <x:c r="I65" t="str">
        <x:v>Train</x:v>
      </x:c>
    </x:row>
    <x:row r="66">
      <x:c r="A66" t="n">
        <x:v>1</x:v>
      </x:c>
      <x:c r="B66" s="38" t="n">
        <x:v>40662</x:v>
      </x:c>
      <x:c r="C66" s="40" t="n">
        <x:v>1455090.69</x:v>
      </x:c>
      <x:c r="D66" t="n">
        <x:v>0</x:v>
      </x:c>
      <x:c r="E66" t="n">
        <x:v>72.03</x:v>
      </x:c>
      <x:c r="F66" t="n">
        <x:v>3.81</x:v>
      </x:c>
      <x:c r="G66" t="n">
        <x:v>215.6279544</x:v>
      </x:c>
      <x:c r="H66" t="n">
        <x:v>7.682</x:v>
      </x:c>
      <x:c r="I66" t="str">
        <x:v>Train</x:v>
      </x:c>
    </x:row>
    <x:row r="67">
      <x:c r="A67" t="n">
        <x:v>1</x:v>
      </x:c>
      <x:c r="B67" s="38" t="n">
        <x:v>40669</x:v>
      </x:c>
      <x:c r="C67" s="40" t="n">
        <x:v>1629391.28</x:v>
      </x:c>
      <x:c r="D67" t="n">
        <x:v>0</x:v>
      </x:c>
      <x:c r="E67" t="n">
        <x:v>64.61</x:v>
      </x:c>
      <x:c r="F67" t="n">
        <x:v>3.906</x:v>
      </x:c>
      <x:c r="G67" t="n">
        <x:v>215.7960035</x:v>
      </x:c>
      <x:c r="H67" t="n">
        <x:v>7.682</x:v>
      </x:c>
      <x:c r="I67" t="str">
        <x:v>Train</x:v>
      </x:c>
    </x:row>
    <x:row r="68">
      <x:c r="A68" t="n">
        <x:v>1</x:v>
      </x:c>
      <x:c r="B68" s="38" t="n">
        <x:v>40676</x:v>
      </x:c>
      <x:c r="C68" s="40" t="n">
        <x:v>1604775.58</x:v>
      </x:c>
      <x:c r="D68" t="n">
        <x:v>0</x:v>
      </x:c>
      <x:c r="E68" t="n">
        <x:v>75.64</x:v>
      </x:c>
      <x:c r="F68" t="n">
        <x:v>3.899</x:v>
      </x:c>
      <x:c r="G68" t="n">
        <x:v>215.9640526</x:v>
      </x:c>
      <x:c r="H68" t="n">
        <x:v>7.682</x:v>
      </x:c>
      <x:c r="I68" t="str">
        <x:v>Train</x:v>
      </x:c>
    </x:row>
    <x:row r="69">
      <x:c r="A69" t="n">
        <x:v>1</x:v>
      </x:c>
      <x:c r="B69" s="38" t="n">
        <x:v>40683</x:v>
      </x:c>
      <x:c r="C69" s="40" t="n">
        <x:v>1428218.27</x:v>
      </x:c>
      <x:c r="D69" t="n">
        <x:v>0</x:v>
      </x:c>
      <x:c r="E69" t="n">
        <x:v>67.63</x:v>
      </x:c>
      <x:c r="F69" t="n">
        <x:v>3.907</x:v>
      </x:c>
      <x:c r="G69" t="n">
        <x:v>215.7339202</x:v>
      </x:c>
      <x:c r="H69" t="n">
        <x:v>7.682</x:v>
      </x:c>
      <x:c r="I69" t="str">
        <x:v>Train</x:v>
      </x:c>
    </x:row>
    <x:row r="70">
      <x:c r="A70" t="n">
        <x:v>1</x:v>
      </x:c>
      <x:c r="B70" s="38" t="n">
        <x:v>40690</x:v>
      </x:c>
      <x:c r="C70" s="40" t="n">
        <x:v>1466046.67</x:v>
      </x:c>
      <x:c r="D70" t="n">
        <x:v>0</x:v>
      </x:c>
      <x:c r="E70" t="n">
        <x:v>77.72</x:v>
      </x:c>
      <x:c r="F70" t="n">
        <x:v>3.786</x:v>
      </x:c>
      <x:c r="G70" t="n">
        <x:v>215.5037878</x:v>
      </x:c>
      <x:c r="H70" t="n">
        <x:v>7.682</x:v>
      </x:c>
      <x:c r="I70" t="str">
        <x:v>Train</x:v>
      </x:c>
    </x:row>
    <x:row r="71">
      <x:c r="A71" t="n">
        <x:v>1</x:v>
      </x:c>
      <x:c r="B71" s="38" t="n">
        <x:v>40697</x:v>
      </x:c>
      <x:c r="C71" s="40" t="n">
        <x:v>1635078.41</x:v>
      </x:c>
      <x:c r="D71" t="n">
        <x:v>0</x:v>
      </x:c>
      <x:c r="E71" t="n">
        <x:v>83</x:v>
      </x:c>
      <x:c r="F71" t="n">
        <x:v>3.699</x:v>
      </x:c>
      <x:c r="G71" t="n">
        <x:v>215.2736553</x:v>
      </x:c>
      <x:c r="H71" t="n">
        <x:v>7.682</x:v>
      </x:c>
      <x:c r="I71" t="str">
        <x:v>Train</x:v>
      </x:c>
    </x:row>
    <x:row r="72">
      <x:c r="A72" t="n">
        <x:v>1</x:v>
      </x:c>
      <x:c r="B72" s="38" t="n">
        <x:v>40704</x:v>
      </x:c>
      <x:c r="C72" s="40" t="n">
        <x:v>1588948.32</x:v>
      </x:c>
      <x:c r="D72" t="n">
        <x:v>0</x:v>
      </x:c>
      <x:c r="E72" t="n">
        <x:v>83.13</x:v>
      </x:c>
      <x:c r="F72" t="n">
        <x:v>3.648</x:v>
      </x:c>
      <x:c r="G72" t="n">
        <x:v>215.0435229</x:v>
      </x:c>
      <x:c r="H72" t="n">
        <x:v>7.682</x:v>
      </x:c>
      <x:c r="I72" t="str">
        <x:v>Train</x:v>
      </x:c>
    </x:row>
    <x:row r="73">
      <x:c r="A73" t="n">
        <x:v>1</x:v>
      </x:c>
      <x:c r="B73" s="38" t="n">
        <x:v>40711</x:v>
      </x:c>
      <x:c r="C73" s="40" t="n">
        <x:v>1532114.86</x:v>
      </x:c>
      <x:c r="D73" t="n">
        <x:v>0</x:v>
      </x:c>
      <x:c r="E73" t="n">
        <x:v>86.41</x:v>
      </x:c>
      <x:c r="F73" t="n">
        <x:v>3.637</x:v>
      </x:c>
      <x:c r="G73" t="n">
        <x:v>214.9980596</x:v>
      </x:c>
      <x:c r="H73" t="n">
        <x:v>7.682</x:v>
      </x:c>
      <x:c r="I73" t="str">
        <x:v>Train</x:v>
      </x:c>
    </x:row>
    <x:row r="74">
      <x:c r="A74" t="n">
        <x:v>1</x:v>
      </x:c>
      <x:c r="B74" s="38" t="n">
        <x:v>40718</x:v>
      </x:c>
      <x:c r="C74" s="40" t="n">
        <x:v>1438830.15</x:v>
      </x:c>
      <x:c r="D74" t="n">
        <x:v>0</x:v>
      </x:c>
      <x:c r="E74" t="n">
        <x:v>83.58</x:v>
      </x:c>
      <x:c r="F74" t="n">
        <x:v>3.594</x:v>
      </x:c>
      <x:c r="G74" t="n">
        <x:v>215.0910982</x:v>
      </x:c>
      <x:c r="H74" t="n">
        <x:v>7.682</x:v>
      </x:c>
      <x:c r="I74" t="str">
        <x:v>Train</x:v>
      </x:c>
    </x:row>
    <x:row r="75">
      <x:c r="A75" t="n">
        <x:v>1</x:v>
      </x:c>
      <x:c r="B75" s="38" t="n">
        <x:v>40725</x:v>
      </x:c>
      <x:c r="C75" s="40" t="n">
        <x:v>1488538.09</x:v>
      </x:c>
      <x:c r="D75" t="n">
        <x:v>0</x:v>
      </x:c>
      <x:c r="E75" t="n">
        <x:v>85.55</x:v>
      </x:c>
      <x:c r="F75" t="n">
        <x:v>3.524</x:v>
      </x:c>
      <x:c r="G75" t="n">
        <x:v>215.1841368</x:v>
      </x:c>
      <x:c r="H75" t="n">
        <x:v>7.962</x:v>
      </x:c>
      <x:c r="I75" t="str">
        <x:v>Train</x:v>
      </x:c>
    </x:row>
    <x:row r="76">
      <x:c r="A76" t="n">
        <x:v>1</x:v>
      </x:c>
      <x:c r="B76" s="38" t="n">
        <x:v>40732</x:v>
      </x:c>
      <x:c r="C76" s="40" t="n">
        <x:v>1534849.64</x:v>
      </x:c>
      <x:c r="D76" t="n">
        <x:v>0</x:v>
      </x:c>
      <x:c r="E76" t="n">
        <x:v>85.83</x:v>
      </x:c>
      <x:c r="F76" t="n">
        <x:v>3.48</x:v>
      </x:c>
      <x:c r="G76" t="n">
        <x:v>215.2771754</x:v>
      </x:c>
      <x:c r="H76" t="n">
        <x:v>7.962</x:v>
      </x:c>
      <x:c r="I76" t="str">
        <x:v>Train</x:v>
      </x:c>
    </x:row>
    <x:row r="77">
      <x:c r="A77" t="n">
        <x:v>1</x:v>
      </x:c>
      <x:c r="B77" s="38" t="n">
        <x:v>40739</x:v>
      </x:c>
      <x:c r="C77" s="40" t="n">
        <x:v>1455119.97</x:v>
      </x:c>
      <x:c r="D77" t="n">
        <x:v>0</x:v>
      </x:c>
      <x:c r="E77" t="n">
        <x:v>88.54</x:v>
      </x:c>
      <x:c r="F77" t="n">
        <x:v>3.575</x:v>
      </x:c>
      <x:c r="G77" t="n">
        <x:v>215.3611087</x:v>
      </x:c>
      <x:c r="H77" t="n">
        <x:v>7.962</x:v>
      </x:c>
      <x:c r="I77" t="str">
        <x:v>Train</x:v>
      </x:c>
    </x:row>
    <x:row r="78">
      <x:c r="A78" t="n">
        <x:v>1</x:v>
      </x:c>
      <x:c r="B78" s="38" t="n">
        <x:v>40746</x:v>
      </x:c>
      <x:c r="C78" s="40" t="n">
        <x:v>1396926.82</x:v>
      </x:c>
      <x:c r="D78" t="n">
        <x:v>0</x:v>
      </x:c>
      <x:c r="E78" t="n">
        <x:v>85.77</x:v>
      </x:c>
      <x:c r="F78" t="n">
        <x:v>3.651</x:v>
      </x:c>
      <x:c r="G78" t="n">
        <x:v>215.4222784</x:v>
      </x:c>
      <x:c r="H78" t="n">
        <x:v>7.962</x:v>
      </x:c>
      <x:c r="I78" t="str">
        <x:v>Train</x:v>
      </x:c>
    </x:row>
    <x:row r="79">
      <x:c r="A79" t="n">
        <x:v>1</x:v>
      </x:c>
      <x:c r="B79" s="38" t="n">
        <x:v>40753</x:v>
      </x:c>
      <x:c r="C79" s="40" t="n">
        <x:v>1352219.79</x:v>
      </x:c>
      <x:c r="D79" t="n">
        <x:v>0</x:v>
      </x:c>
      <x:c r="E79" t="n">
        <x:v>86.83</x:v>
      </x:c>
      <x:c r="F79" t="n">
        <x:v>3.682</x:v>
      </x:c>
      <x:c r="G79" t="n">
        <x:v>215.4834482</x:v>
      </x:c>
      <x:c r="H79" t="n">
        <x:v>7.962</x:v>
      </x:c>
      <x:c r="I79" t="str">
        <x:v>Train</x:v>
      </x:c>
    </x:row>
    <x:row r="80">
      <x:c r="A80" t="n">
        <x:v>1</x:v>
      </x:c>
      <x:c r="B80" s="38" t="n">
        <x:v>40760</x:v>
      </x:c>
      <x:c r="C80" s="40" t="n">
        <x:v>1624383.75</x:v>
      </x:c>
      <x:c r="D80" t="n">
        <x:v>0</x:v>
      </x:c>
      <x:c r="E80" t="n">
        <x:v>91.65</x:v>
      </x:c>
      <x:c r="F80" t="n">
        <x:v>3.684</x:v>
      </x:c>
      <x:c r="G80" t="n">
        <x:v>215.544618</x:v>
      </x:c>
      <x:c r="H80" t="n">
        <x:v>7.962</x:v>
      </x:c>
      <x:c r="I80" t="str">
        <x:v>Train</x:v>
      </x:c>
    </x:row>
    <x:row r="81">
      <x:c r="A81" t="n">
        <x:v>1</x:v>
      </x:c>
      <x:c r="B81" s="38" t="n">
        <x:v>40767</x:v>
      </x:c>
      <x:c r="C81" s="40" t="n">
        <x:v>1525147.09</x:v>
      </x:c>
      <x:c r="D81" t="n">
        <x:v>0</x:v>
      </x:c>
      <x:c r="E81" t="n">
        <x:v>90.76</x:v>
      </x:c>
      <x:c r="F81" t="n">
        <x:v>3.638</x:v>
      </x:c>
      <x:c r="G81" t="n">
        <x:v>215.6057878</x:v>
      </x:c>
      <x:c r="H81" t="n">
        <x:v>7.962</x:v>
      </x:c>
      <x:c r="I81" t="str">
        <x:v>Train</x:v>
      </x:c>
    </x:row>
    <x:row r="82">
      <x:c r="A82" t="n">
        <x:v>1</x:v>
      </x:c>
      <x:c r="B82" s="38" t="n">
        <x:v>40774</x:v>
      </x:c>
      <x:c r="C82" s="40" t="n">
        <x:v>1530761.43</x:v>
      </x:c>
      <x:c r="D82" t="n">
        <x:v>0</x:v>
      </x:c>
      <x:c r="E82" t="n">
        <x:v>89.94</x:v>
      </x:c>
      <x:c r="F82" t="n">
        <x:v>3.554</x:v>
      </x:c>
      <x:c r="G82" t="n">
        <x:v>215.6693107</x:v>
      </x:c>
      <x:c r="H82" t="n">
        <x:v>7.962</x:v>
      </x:c>
      <x:c r="I82" t="str">
        <x:v>Train</x:v>
      </x:c>
    </x:row>
    <x:row r="83">
      <x:c r="A83" t="n">
        <x:v>1</x:v>
      </x:c>
      <x:c r="B83" s="38" t="n">
        <x:v>40781</x:v>
      </x:c>
      <x:c r="C83" s="40" t="n">
        <x:v>1464693.46</x:v>
      </x:c>
      <x:c r="D83" t="n">
        <x:v>0</x:v>
      </x:c>
      <x:c r="E83" t="n">
        <x:v>87.96</x:v>
      </x:c>
      <x:c r="F83" t="n">
        <x:v>3.523</x:v>
      </x:c>
      <x:c r="G83" t="n">
        <x:v>215.7332258</x:v>
      </x:c>
      <x:c r="H83" t="n">
        <x:v>7.962</x:v>
      </x:c>
      <x:c r="I83" t="str">
        <x:v>Train</x:v>
      </x:c>
    </x:row>
    <x:row r="84">
      <x:c r="A84" t="n">
        <x:v>1</x:v>
      </x:c>
      <x:c r="B84" s="38" t="n">
        <x:v>40788</x:v>
      </x:c>
      <x:c r="C84" s="40" t="n">
        <x:v>1550229.22</x:v>
      </x:c>
      <x:c r="D84" t="n">
        <x:v>0</x:v>
      </x:c>
      <x:c r="E84" t="n">
        <x:v>87.83</x:v>
      </x:c>
      <x:c r="F84" t="n">
        <x:v>3.533</x:v>
      </x:c>
      <x:c r="G84" t="n">
        <x:v>215.7971409</x:v>
      </x:c>
      <x:c r="H84" t="n">
        <x:v>7.962</x:v>
      </x:c>
      <x:c r="I84" t="str">
        <x:v>Train</x:v>
      </x:c>
    </x:row>
    <x:row r="85">
      <x:c r="A85" t="n">
        <x:v>1</x:v>
      </x:c>
      <x:c r="B85" s="38" t="n">
        <x:v>40795</x:v>
      </x:c>
      <x:c r="C85" s="40" t="n">
        <x:v>1540471.24</x:v>
      </x:c>
      <x:c r="D85" t="n">
        <x:v>1</x:v>
      </x:c>
      <x:c r="E85" t="n">
        <x:v>76</x:v>
      </x:c>
      <x:c r="F85" t="n">
        <x:v>3.546</x:v>
      </x:c>
      <x:c r="G85" t="n">
        <x:v>215.861056</x:v>
      </x:c>
      <x:c r="H85" t="n">
        <x:v>7.962</x:v>
      </x:c>
      <x:c r="I85" t="str">
        <x:v>Train</x:v>
      </x:c>
    </x:row>
    <x:row r="86">
      <x:c r="A86" t="n">
        <x:v>1</x:v>
      </x:c>
      <x:c r="B86" s="38" t="n">
        <x:v>40802</x:v>
      </x:c>
      <x:c r="C86" s="40" t="n">
        <x:v>1514259.78</x:v>
      </x:c>
      <x:c r="D86" t="n">
        <x:v>0</x:v>
      </x:c>
      <x:c r="E86" t="n">
        <x:v>79.94</x:v>
      </x:c>
      <x:c r="F86" t="n">
        <x:v>3.526</x:v>
      </x:c>
      <x:c r="G86" t="n">
        <x:v>216.0410526</x:v>
      </x:c>
      <x:c r="H86" t="n">
        <x:v>7.962</x:v>
      </x:c>
      <x:c r="I86" t="str">
        <x:v>Train</x:v>
      </x:c>
    </x:row>
    <x:row r="87">
      <x:c r="A87" t="n">
        <x:v>1</x:v>
      </x:c>
      <x:c r="B87" s="38" t="n">
        <x:v>40809</x:v>
      </x:c>
      <x:c r="C87" s="40" t="n">
        <x:v>1380020.27</x:v>
      </x:c>
      <x:c r="D87" t="n">
        <x:v>0</x:v>
      </x:c>
      <x:c r="E87" t="n">
        <x:v>75.8</x:v>
      </x:c>
      <x:c r="F87" t="n">
        <x:v>3.467</x:v>
      </x:c>
      <x:c r="G87" t="n">
        <x:v>216.3758246</x:v>
      </x:c>
      <x:c r="H87" t="n">
        <x:v>7.962</x:v>
      </x:c>
      <x:c r="I87" t="str">
        <x:v>Train</x:v>
      </x:c>
    </x:row>
    <x:row r="88">
      <x:c r="A88" t="n">
        <x:v>1</x:v>
      </x:c>
      <x:c r="B88" s="38" t="n">
        <x:v>40816</x:v>
      </x:c>
      <x:c r="C88" s="40" t="n">
        <x:v>1394561.83</x:v>
      </x:c>
      <x:c r="D88" t="n">
        <x:v>0</x:v>
      </x:c>
      <x:c r="E88" t="n">
        <x:v>79.69</x:v>
      </x:c>
      <x:c r="F88" t="n">
        <x:v>3.355</x:v>
      </x:c>
      <x:c r="G88" t="n">
        <x:v>216.7105965</x:v>
      </x:c>
      <x:c r="H88" t="n">
        <x:v>7.962</x:v>
      </x:c>
      <x:c r="I88" t="str">
        <x:v>Train</x:v>
      </x:c>
    </x:row>
    <x:row r="89">
      <x:c r="A89" t="n">
        <x:v>1</x:v>
      </x:c>
      <x:c r="B89" s="38" t="n">
        <x:v>40823</x:v>
      </x:c>
      <x:c r="C89" s="40" t="n">
        <x:v>1630989.95</x:v>
      </x:c>
      <x:c r="D89" t="n">
        <x:v>0</x:v>
      </x:c>
      <x:c r="E89" t="n">
        <x:v>69.31</x:v>
      </x:c>
      <x:c r="F89" t="n">
        <x:v>3.285</x:v>
      </x:c>
      <x:c r="G89" t="n">
        <x:v>217.0453684</x:v>
      </x:c>
      <x:c r="H89" t="n">
        <x:v>7.866</x:v>
      </x:c>
      <x:c r="I89" t="str">
        <x:v>Train</x:v>
      </x:c>
    </x:row>
    <x:row r="90">
      <x:c r="A90" t="n">
        <x:v>1</x:v>
      </x:c>
      <x:c r="B90" s="38" t="n">
        <x:v>40830</x:v>
      </x:c>
      <x:c r="C90" s="40" t="n">
        <x:v>1493525.93</x:v>
      </x:c>
      <x:c r="D90" t="n">
        <x:v>0</x:v>
      </x:c>
      <x:c r="E90" t="n">
        <x:v>71.74</x:v>
      </x:c>
      <x:c r="F90" t="n">
        <x:v>3.274</x:v>
      </x:c>
      <x:c r="G90" t="n">
        <x:v>217.3552733</x:v>
      </x:c>
      <x:c r="H90" t="n">
        <x:v>7.866</x:v>
      </x:c>
      <x:c r="I90" t="str">
        <x:v>Train</x:v>
      </x:c>
    </x:row>
    <x:row r="91">
      <x:c r="A91" t="n">
        <x:v>1</x:v>
      </x:c>
      <x:c r="B91" s="38" t="n">
        <x:v>40837</x:v>
      </x:c>
      <x:c r="C91" s="40" t="n">
        <x:v>1502562.78</x:v>
      </x:c>
      <x:c r="D91" t="n">
        <x:v>0</x:v>
      </x:c>
      <x:c r="E91" t="n">
        <x:v>63.71</x:v>
      </x:c>
      <x:c r="F91" t="n">
        <x:v>3.353</x:v>
      </x:c>
      <x:c r="G91" t="n">
        <x:v>217.5159762</x:v>
      </x:c>
      <x:c r="H91" t="n">
        <x:v>7.866</x:v>
      </x:c>
      <x:c r="I91" t="str">
        <x:v>Train</x:v>
      </x:c>
    </x:row>
    <x:row r="92">
      <x:c r="A92" t="n">
        <x:v>1</x:v>
      </x:c>
      <x:c r="B92" s="38" t="n">
        <x:v>40844</x:v>
      </x:c>
      <x:c r="C92" s="40" t="n">
        <x:v>1445249.09</x:v>
      </x:c>
      <x:c r="D92" t="n">
        <x:v>0</x:v>
      </x:c>
      <x:c r="E92" t="n">
        <x:v>66.57</x:v>
      </x:c>
      <x:c r="F92" t="n">
        <x:v>3.372</x:v>
      </x:c>
      <x:c r="G92" t="n">
        <x:v>217.6766791</x:v>
      </x:c>
      <x:c r="H92" t="n">
        <x:v>7.866</x:v>
      </x:c>
      <x:c r="I92" t="str">
        <x:v>Train</x:v>
      </x:c>
    </x:row>
    <x:row r="93">
      <x:c r="A93" t="n">
        <x:v>1</x:v>
      </x:c>
      <x:c r="B93" s="38" t="n">
        <x:v>40851</x:v>
      </x:c>
      <x:c r="C93" s="40" t="n">
        <x:v>1697229.58</x:v>
      </x:c>
      <x:c r="D93" t="n">
        <x:v>0</x:v>
      </x:c>
      <x:c r="E93" t="n">
        <x:v>54.98</x:v>
      </x:c>
      <x:c r="F93" t="n">
        <x:v>3.332</x:v>
      </x:c>
      <x:c r="G93" t="n">
        <x:v>217.837382</x:v>
      </x:c>
      <x:c r="H93" t="n">
        <x:v>7.866</x:v>
      </x:c>
      <x:c r="I93" t="str">
        <x:v>Train</x:v>
      </x:c>
    </x:row>
    <x:row r="94">
      <x:c r="A94" t="n">
        <x:v>1</x:v>
      </x:c>
      <x:c r="B94" s="38" t="n">
        <x:v>40858</x:v>
      </x:c>
      <x:c r="C94" s="40" t="n">
        <x:v>1594938.89</x:v>
      </x:c>
      <x:c r="D94" t="n">
        <x:v>0</x:v>
      </x:c>
      <x:c r="E94" t="n">
        <x:v>59.11</x:v>
      </x:c>
      <x:c r="F94" t="n">
        <x:v>3.297</x:v>
      </x:c>
      <x:c r="G94" t="n">
        <x:v>217.9980849</x:v>
      </x:c>
      <x:c r="H94" t="n">
        <x:v>7.866</x:v>
      </x:c>
      <x:c r="I94" t="str">
        <x:v>Train</x:v>
      </x:c>
    </x:row>
    <x:row r="95">
      <x:c r="A95" t="n">
        <x:v>1</x:v>
      </x:c>
      <x:c r="B95" s="38" t="n">
        <x:v>40865</x:v>
      </x:c>
      <x:c r="C95" s="40" t="n">
        <x:v>1539483.7</x:v>
      </x:c>
      <x:c r="D95" t="n">
        <x:v>0</x:v>
      </x:c>
      <x:c r="E95" t="n">
        <x:v>62.25</x:v>
      </x:c>
      <x:c r="F95" t="n">
        <x:v>3.308</x:v>
      </x:c>
      <x:c r="G95" t="n">
        <x:v>218.2205088</x:v>
      </x:c>
      <x:c r="H95" t="n">
        <x:v>7.866</x:v>
      </x:c>
      <x:c r="I95" t="str">
        <x:v>Train</x:v>
      </x:c>
    </x:row>
    <x:row r="96">
      <x:c r="A96" t="n">
        <x:v>1</x:v>
      </x:c>
      <x:c r="B96" s="38" t="n">
        <x:v>40872</x:v>
      </x:c>
      <x:c r="C96" s="40" t="n">
        <x:v>2033320.66</x:v>
      </x:c>
      <x:c r="D96" t="n">
        <x:v>1</x:v>
      </x:c>
      <x:c r="E96" t="n">
        <x:v>60.14</x:v>
      </x:c>
      <x:c r="F96" t="n">
        <x:v>3.236</x:v>
      </x:c>
      <x:c r="G96" t="n">
        <x:v>218.4676211</x:v>
      </x:c>
      <x:c r="H96" t="n">
        <x:v>7.866</x:v>
      </x:c>
      <x:c r="I96" t="str">
        <x:v>Train</x:v>
      </x:c>
    </x:row>
    <x:row r="97">
      <x:c r="A97" t="n">
        <x:v>1</x:v>
      </x:c>
      <x:c r="B97" s="38" t="n">
        <x:v>40879</x:v>
      </x:c>
      <x:c r="C97" s="40" t="n">
        <x:v>1584083.95</x:v>
      </x:c>
      <x:c r="D97" t="n">
        <x:v>0</x:v>
      </x:c>
      <x:c r="E97" t="n">
        <x:v>48.91</x:v>
      </x:c>
      <x:c r="F97" t="n">
        <x:v>3.172</x:v>
      </x:c>
      <x:c r="G97" t="n">
        <x:v>218.7147333</x:v>
      </x:c>
      <x:c r="H97" t="n">
        <x:v>7.866</x:v>
      </x:c>
      <x:c r="I97" t="str">
        <x:v>Train</x:v>
      </x:c>
    </x:row>
    <x:row r="98">
      <x:c r="A98" t="n">
        <x:v>1</x:v>
      </x:c>
      <x:c r="B98" s="38" t="n">
        <x:v>40886</x:v>
      </x:c>
      <x:c r="C98" s="40" t="n">
        <x:v>1799682.38</x:v>
      </x:c>
      <x:c r="D98" t="n">
        <x:v>0</x:v>
      </x:c>
      <x:c r="E98" t="n">
        <x:v>43.93</x:v>
      </x:c>
      <x:c r="F98" t="n">
        <x:v>3.158</x:v>
      </x:c>
      <x:c r="G98" t="n">
        <x:v>218.9618456</x:v>
      </x:c>
      <x:c r="H98" t="n">
        <x:v>7.866</x:v>
      </x:c>
      <x:c r="I98" t="str">
        <x:v>Train</x:v>
      </x:c>
    </x:row>
    <x:row r="99">
      <x:c r="A99" t="n">
        <x:v>1</x:v>
      </x:c>
      <x:c r="B99" s="38" t="n">
        <x:v>40893</x:v>
      </x:c>
      <x:c r="C99" s="40" t="n">
        <x:v>1881176.67</x:v>
      </x:c>
      <x:c r="D99" t="n">
        <x:v>0</x:v>
      </x:c>
      <x:c r="E99" t="n">
        <x:v>51.63</x:v>
      </x:c>
      <x:c r="F99" t="n">
        <x:v>3.159</x:v>
      </x:c>
      <x:c r="G99" t="n">
        <x:v>219.1794533</x:v>
      </x:c>
      <x:c r="H99" t="n">
        <x:v>7.866</x:v>
      </x:c>
      <x:c r="I99" t="str">
        <x:v>Train</x:v>
      </x:c>
    </x:row>
    <x:row r="100">
      <x:c r="A100" t="n">
        <x:v>1</x:v>
      </x:c>
      <x:c r="B100" s="38" t="n">
        <x:v>40900</x:v>
      </x:c>
      <x:c r="C100" s="40" t="n">
        <x:v>2270188.99</x:v>
      </x:c>
      <x:c r="D100" t="n">
        <x:v>0</x:v>
      </x:c>
      <x:c r="E100" t="n">
        <x:v>47.96</x:v>
      </x:c>
      <x:c r="F100" t="n">
        <x:v>3.112</x:v>
      </x:c>
      <x:c r="G100" t="n">
        <x:v>219.3577216</x:v>
      </x:c>
      <x:c r="H100" t="n">
        <x:v>7.866</x:v>
      </x:c>
      <x:c r="I100" t="str">
        <x:v>Train</x:v>
      </x:c>
    </x:row>
    <x:row r="101">
      <x:c r="A101" t="n">
        <x:v>1</x:v>
      </x:c>
      <x:c r="B101" s="38" t="n">
        <x:v>40907</x:v>
      </x:c>
      <x:c r="C101" s="40" t="n">
        <x:v>1497462.72</x:v>
      </x:c>
      <x:c r="D101" t="n">
        <x:v>1</x:v>
      </x:c>
      <x:c r="E101" t="n">
        <x:v>44.55</x:v>
      </x:c>
      <x:c r="F101" t="n">
        <x:v>3.129</x:v>
      </x:c>
      <x:c r="G101" t="n">
        <x:v>219.5359898</x:v>
      </x:c>
      <x:c r="H101" t="n">
        <x:v>7.866</x:v>
      </x:c>
      <x:c r="I101" t="str">
        <x:v>Train</x:v>
      </x:c>
    </x:row>
    <x:row r="102">
      <x:c r="A102" t="n">
        <x:v>1</x:v>
      </x:c>
      <x:c r="B102" s="38" t="n">
        <x:v>40914</x:v>
      </x:c>
      <x:c r="C102" s="40" t="n">
        <x:v>1550369.92</x:v>
      </x:c>
      <x:c r="D102" t="n">
        <x:v>0</x:v>
      </x:c>
      <x:c r="E102" t="n">
        <x:v>49.01</x:v>
      </x:c>
      <x:c r="F102" t="n">
        <x:v>3.157</x:v>
      </x:c>
      <x:c r="G102" t="n">
        <x:v>219.7142581</x:v>
      </x:c>
      <x:c r="H102" t="n">
        <x:v>7.348</x:v>
      </x:c>
      <x:c r="I102" t="str">
        <x:v>Train</x:v>
      </x:c>
    </x:row>
    <x:row r="103">
      <x:c r="A103" t="n">
        <x:v>1</x:v>
      </x:c>
      <x:c r="B103" s="38" t="n">
        <x:v>40921</x:v>
      </x:c>
      <x:c r="C103" s="40" t="n">
        <x:v>1459601.17</x:v>
      </x:c>
      <x:c r="D103" t="n">
        <x:v>0</x:v>
      </x:c>
      <x:c r="E103" t="n">
        <x:v>48.53</x:v>
      </x:c>
      <x:c r="F103" t="n">
        <x:v>3.261</x:v>
      </x:c>
      <x:c r="G103" t="n">
        <x:v>219.8925263</x:v>
      </x:c>
      <x:c r="H103" t="n">
        <x:v>7.348</x:v>
      </x:c>
      <x:c r="I103" t="str">
        <x:v>Train</x:v>
      </x:c>
    </x:row>
    <x:row r="104">
      <x:c r="A104" t="n">
        <x:v>1</x:v>
      </x:c>
      <x:c r="B104" s="38" t="n">
        <x:v>40928</x:v>
      </x:c>
      <x:c r="C104" s="40" t="n">
        <x:v>1394393.84</x:v>
      </x:c>
      <x:c r="D104" t="n">
        <x:v>0</x:v>
      </x:c>
      <x:c r="E104" t="n">
        <x:v>54.11</x:v>
      </x:c>
      <x:c r="F104" t="n">
        <x:v>3.268</x:v>
      </x:c>
      <x:c r="G104" t="n">
        <x:v>219.9856893</x:v>
      </x:c>
      <x:c r="H104" t="n">
        <x:v>7.348</x:v>
      </x:c>
      <x:c r="I104" t="str">
        <x:v>Train</x:v>
      </x:c>
    </x:row>
    <x:row r="105">
      <x:c r="A105" t="n">
        <x:v>1</x:v>
      </x:c>
      <x:c r="B105" s="38" t="n">
        <x:v>40935</x:v>
      </x:c>
      <x:c r="C105" s="40" t="n">
        <x:v>1319325.59</x:v>
      </x:c>
      <x:c r="D105" t="n">
        <x:v>0</x:v>
      </x:c>
      <x:c r="E105" t="n">
        <x:v>54.26</x:v>
      </x:c>
      <x:c r="F105" t="n">
        <x:v>3.29</x:v>
      </x:c>
      <x:c r="G105" t="n">
        <x:v>220.0788523</x:v>
      </x:c>
      <x:c r="H105" t="n">
        <x:v>7.348</x:v>
      </x:c>
      <x:c r="I105" t="str">
        <x:v>Train</x:v>
      </x:c>
    </x:row>
    <x:row r="106">
      <x:c r="A106" t="n">
        <x:v>1</x:v>
      </x:c>
      <x:c r="B106" s="38" t="n">
        <x:v>40942</x:v>
      </x:c>
      <x:c r="C106" s="40" t="n">
        <x:v>1636339.65</x:v>
      </x:c>
      <x:c r="D106" t="n">
        <x:v>0</x:v>
      </x:c>
      <x:c r="E106" t="n">
        <x:v>56.55</x:v>
      </x:c>
      <x:c r="F106" t="n">
        <x:v>3.36</x:v>
      </x:c>
      <x:c r="G106" t="n">
        <x:v>220.1720153</x:v>
      </x:c>
      <x:c r="H106" t="n">
        <x:v>7.348</x:v>
      </x:c>
      <x:c r="I106" t="str">
        <x:v>Train</x:v>
      </x:c>
    </x:row>
    <x:row r="107">
      <x:c r="A107" t="n">
        <x:v>1</x:v>
      </x:c>
      <x:c r="B107" s="38" t="n">
        <x:v>40949</x:v>
      </x:c>
      <x:c r="C107" s="40" t="n">
        <x:v>1802477.43</x:v>
      </x:c>
      <x:c r="D107" t="n">
        <x:v>1</x:v>
      </x:c>
      <x:c r="E107" t="n">
        <x:v>48.02</x:v>
      </x:c>
      <x:c r="F107" t="n">
        <x:v>3.409</x:v>
      </x:c>
      <x:c r="G107" t="n">
        <x:v>220.2651783</x:v>
      </x:c>
      <x:c r="H107" t="n">
        <x:v>7.348</x:v>
      </x:c>
      <x:c r="I107" t="str">
        <x:v>Train</x:v>
      </x:c>
    </x:row>
    <x:row r="108">
      <x:c r="A108" t="n">
        <x:v>1</x:v>
      </x:c>
      <x:c r="B108" s="38" t="n">
        <x:v>40956</x:v>
      </x:c>
      <x:c r="C108" s="40" t="n">
        <x:v>1819870</x:v>
      </x:c>
      <x:c r="D108" t="n">
        <x:v>0</x:v>
      </x:c>
      <x:c r="E108" t="n">
        <x:v>45.32</x:v>
      </x:c>
      <x:c r="F108" t="n">
        <x:v>3.51</x:v>
      </x:c>
      <x:c r="G108" t="n">
        <x:v>220.4257586</x:v>
      </x:c>
      <x:c r="H108" t="n">
        <x:v>7.348</x:v>
      </x:c>
      <x:c r="I108" t="str">
        <x:v>Train</x:v>
      </x:c>
    </x:row>
    <x:row r="109">
      <x:c r="A109" t="n">
        <x:v>1</x:v>
      </x:c>
      <x:c r="B109" s="38" t="n">
        <x:v>40963</x:v>
      </x:c>
      <x:c r="C109" s="40" t="n">
        <x:v>1539387.83</x:v>
      </x:c>
      <x:c r="D109" t="n">
        <x:v>0</x:v>
      </x:c>
      <x:c r="E109" t="n">
        <x:v>57.25</x:v>
      </x:c>
      <x:c r="F109" t="n">
        <x:v>3.555</x:v>
      </x:c>
      <x:c r="G109" t="n">
        <x:v>220.636902</x:v>
      </x:c>
      <x:c r="H109" t="n">
        <x:v>7.348</x:v>
      </x:c>
      <x:c r="I109" t="str">
        <x:v>Train</x:v>
      </x:c>
    </x:row>
    <x:row r="110">
      <x:c r="A110" t="n">
        <x:v>1</x:v>
      </x:c>
      <x:c r="B110" s="38" t="n">
        <x:v>40970</x:v>
      </x:c>
      <x:c r="C110" s="40" t="n">
        <x:v>1688420.76</x:v>
      </x:c>
      <x:c r="D110" t="n">
        <x:v>0</x:v>
      </x:c>
      <x:c r="E110" t="n">
        <x:v>60.96</x:v>
      </x:c>
      <x:c r="F110" t="n">
        <x:v>3.63</x:v>
      </x:c>
      <x:c r="G110" t="n">
        <x:v>220.8480454</x:v>
      </x:c>
      <x:c r="H110" t="n">
        <x:v>7.348</x:v>
      </x:c>
      <x:c r="I110" t="str">
        <x:v>Train</x:v>
      </x:c>
    </x:row>
    <x:row r="111">
      <x:c r="A111" t="n">
        <x:v>1</x:v>
      </x:c>
      <x:c r="B111" s="38" t="n">
        <x:v>40977</x:v>
      </x:c>
      <x:c r="C111" s="40" t="n">
        <x:v>1675431.16</x:v>
      </x:c>
      <x:c r="D111" t="n">
        <x:v>0</x:v>
      </x:c>
      <x:c r="E111" t="n">
        <x:v>58.76</x:v>
      </x:c>
      <x:c r="F111" t="n">
        <x:v>3.669</x:v>
      </x:c>
      <x:c r="G111" t="n">
        <x:v>221.0591887</x:v>
      </x:c>
      <x:c r="H111" t="n">
        <x:v>7.348</x:v>
      </x:c>
      <x:c r="I111" t="str">
        <x:v>Train</x:v>
      </x:c>
    </x:row>
    <x:row r="112">
      <x:c r="A112" t="n">
        <x:v>1</x:v>
      </x:c>
      <x:c r="B112" s="38" t="n">
        <x:v>40984</x:v>
      </x:c>
      <x:c r="C112" s="40" t="n">
        <x:v>1677472.78</x:v>
      </x:c>
      <x:c r="D112" t="n">
        <x:v>0</x:v>
      </x:c>
      <x:c r="E112" t="n">
        <x:v>64.74</x:v>
      </x:c>
      <x:c r="F112" t="n">
        <x:v>3.734</x:v>
      </x:c>
      <x:c r="G112" t="n">
        <x:v>221.2118132</x:v>
      </x:c>
      <x:c r="H112" t="n">
        <x:v>7.348</x:v>
      </x:c>
      <x:c r="I112" t="str">
        <x:v>Train</x:v>
      </x:c>
    </x:row>
    <x:row r="113">
      <x:c r="A113" t="n">
        <x:v>1</x:v>
      </x:c>
      <x:c r="B113" s="38" t="n">
        <x:v>40991</x:v>
      </x:c>
      <x:c r="C113" s="40" t="n">
        <x:v>1511068.07</x:v>
      </x:c>
      <x:c r="D113" t="n">
        <x:v>0</x:v>
      </x:c>
      <x:c r="E113" t="n">
        <x:v>65.93</x:v>
      </x:c>
      <x:c r="F113" t="n">
        <x:v>3.787</x:v>
      </x:c>
      <x:c r="G113" t="n">
        <x:v>221.2864126</x:v>
      </x:c>
      <x:c r="H113" t="n">
        <x:v>7.348</x:v>
      </x:c>
      <x:c r="I113" t="str">
        <x:v>Train</x:v>
      </x:c>
    </x:row>
    <x:row r="114">
      <x:c r="A114" t="n">
        <x:v>1</x:v>
      </x:c>
      <x:c r="B114" s="38" t="n">
        <x:v>40998</x:v>
      </x:c>
      <x:c r="C114" s="40" t="n">
        <x:v>1649604.63</x:v>
      </x:c>
      <x:c r="D114" t="n">
        <x:v>0</x:v>
      </x:c>
      <x:c r="E114" t="n">
        <x:v>67.61</x:v>
      </x:c>
      <x:c r="F114" t="n">
        <x:v>3.845</x:v>
      </x:c>
      <x:c r="G114" t="n">
        <x:v>221.3610119</x:v>
      </x:c>
      <x:c r="H114" t="n">
        <x:v>7.348</x:v>
      </x:c>
      <x:c r="I114" t="str">
        <x:v>Train</x:v>
      </x:c>
    </x:row>
    <x:row r="115">
      <x:c r="A115" t="n">
        <x:v>1</x:v>
      </x:c>
      <x:c r="B115" s="38" t="n">
        <x:v>41005</x:v>
      </x:c>
      <x:c r="C115" s="40" t="n">
        <x:v>1899676.88</x:v>
      </x:c>
      <x:c r="D115" t="n">
        <x:v>0</x:v>
      </x:c>
      <x:c r="E115" t="n">
        <x:v>70.43</x:v>
      </x:c>
      <x:c r="F115" t="n">
        <x:v>3.891</x:v>
      </x:c>
      <x:c r="G115" t="n">
        <x:v>221.4356112</x:v>
      </x:c>
      <x:c r="H115" t="n">
        <x:v>7.143</x:v>
      </x:c>
      <x:c r="I115" t="str">
        <x:v>Train</x:v>
      </x:c>
    </x:row>
    <x:row r="116">
      <x:c r="A116" t="n">
        <x:v>1</x:v>
      </x:c>
      <x:c r="B116" s="38" t="n">
        <x:v>41012</x:v>
      </x:c>
      <x:c r="C116" s="40" t="n">
        <x:v>1621031.7</x:v>
      </x:c>
      <x:c r="D116" t="n">
        <x:v>0</x:v>
      </x:c>
      <x:c r="E116" t="n">
        <x:v>69.07</x:v>
      </x:c>
      <x:c r="F116" t="n">
        <x:v>3.891</x:v>
      </x:c>
      <x:c r="G116" t="n">
        <x:v>221.5102105</x:v>
      </x:c>
      <x:c r="H116" t="n">
        <x:v>7.143</x:v>
      </x:c>
      <x:c r="I116" t="str">
        <x:v>Train</x:v>
      </x:c>
    </x:row>
    <x:row r="117">
      <x:c r="A117" t="n">
        <x:v>1</x:v>
      </x:c>
      <x:c r="B117" s="38" t="n">
        <x:v>41019</x:v>
      </x:c>
      <x:c r="C117" s="40" t="n">
        <x:v>1521577.87</x:v>
      </x:c>
      <x:c r="D117" t="n">
        <x:v>0</x:v>
      </x:c>
      <x:c r="E117" t="n">
        <x:v>66.76</x:v>
      </x:c>
      <x:c r="F117" t="n">
        <x:v>3.877</x:v>
      </x:c>
      <x:c r="G117" t="n">
        <x:v>221.5640737</x:v>
      </x:c>
      <x:c r="H117" t="n">
        <x:v>7.143</x:v>
      </x:c>
      <x:c r="I117" t="str">
        <x:v>Train</x:v>
      </x:c>
    </x:row>
    <x:row r="118">
      <x:c r="A118" t="n">
        <x:v>1</x:v>
      </x:c>
      <x:c r="B118" s="38" t="n">
        <x:v>41026</x:v>
      </x:c>
      <x:c r="C118" s="40" t="n">
        <x:v>1468928.37</x:v>
      </x:c>
      <x:c r="D118" t="n">
        <x:v>0</x:v>
      </x:c>
      <x:c r="E118" t="n">
        <x:v>67.23</x:v>
      </x:c>
      <x:c r="F118" t="n">
        <x:v>3.814</x:v>
      </x:c>
      <x:c r="G118" t="n">
        <x:v>221.6179368</x:v>
      </x:c>
      <x:c r="H118" t="n">
        <x:v>7.143</x:v>
      </x:c>
      <x:c r="I118" t="str">
        <x:v>Train</x:v>
      </x:c>
    </x:row>
    <x:row r="119">
      <x:c r="A119" t="n">
        <x:v>1</x:v>
      </x:c>
      <x:c r="B119" s="38" t="n">
        <x:v>41033</x:v>
      </x:c>
      <x:c r="C119" s="40" t="n">
        <x:v>1684519.99</x:v>
      </x:c>
      <x:c r="D119" t="n">
        <x:v>0</x:v>
      </x:c>
      <x:c r="E119" t="n">
        <x:v>75.55</x:v>
      </x:c>
      <x:c r="F119" t="n">
        <x:v>3.749</x:v>
      </x:c>
      <x:c r="G119" t="n">
        <x:v>221.6718</x:v>
      </x:c>
      <x:c r="H119" t="n">
        <x:v>7.143</x:v>
      </x:c>
      <x:c r="I119" t="str">
        <x:v>Train</x:v>
      </x:c>
    </x:row>
    <x:row r="120">
      <x:c r="A120" t="n">
        <x:v>1</x:v>
      </x:c>
      <x:c r="B120" s="38" t="n">
        <x:v>41040</x:v>
      </x:c>
      <x:c r="C120" s="40" t="n">
        <x:v>1611096.05</x:v>
      </x:c>
      <x:c r="D120" t="n">
        <x:v>0</x:v>
      </x:c>
      <x:c r="E120" t="n">
        <x:v>73.77</x:v>
      </x:c>
      <x:c r="F120" t="n">
        <x:v>3.688</x:v>
      </x:c>
      <x:c r="G120" t="n">
        <x:v>221.7256632</x:v>
      </x:c>
      <x:c r="H120" t="n">
        <x:v>7.143</x:v>
      </x:c>
      <x:c r="I120" t="str">
        <x:v>Train</x:v>
      </x:c>
    </x:row>
    <x:row r="121">
      <x:c r="A121" t="n">
        <x:v>1</x:v>
      </x:c>
      <x:c r="B121" s="38" t="n">
        <x:v>41047</x:v>
      </x:c>
      <x:c r="C121" s="40" t="n">
        <x:v>1595901.87</x:v>
      </x:c>
      <x:c r="D121" t="n">
        <x:v>0</x:v>
      </x:c>
      <x:c r="E121" t="n">
        <x:v>70.33</x:v>
      </x:c>
      <x:c r="F121" t="n">
        <x:v>3.63</x:v>
      </x:c>
      <x:c r="G121" t="n">
        <x:v>221.742674</x:v>
      </x:c>
      <x:c r="H121" t="n">
        <x:v>7.143</x:v>
      </x:c>
      <x:c r="I121" t="str">
        <x:v>Train</x:v>
      </x:c>
    </x:row>
    <x:row r="122">
      <x:c r="A122" t="n">
        <x:v>1</x:v>
      </x:c>
      <x:c r="B122" s="38" t="n">
        <x:v>41054</x:v>
      </x:c>
      <x:c r="C122" s="40" t="n">
        <x:v>1555444.55</x:v>
      </x:c>
      <x:c r="D122" t="n">
        <x:v>0</x:v>
      </x:c>
      <x:c r="E122" t="n">
        <x:v>77.22</x:v>
      </x:c>
      <x:c r="F122" t="n">
        <x:v>3.561</x:v>
      </x:c>
      <x:c r="G122" t="n">
        <x:v>221.744944</x:v>
      </x:c>
      <x:c r="H122" t="n">
        <x:v>7.143</x:v>
      </x:c>
      <x:c r="I122" t="str">
        <x:v>Train</x:v>
      </x:c>
    </x:row>
    <x:row r="123">
      <x:c r="A123" t="n">
        <x:v>1</x:v>
      </x:c>
      <x:c r="B123" s="38" t="n">
        <x:v>41061</x:v>
      </x:c>
      <x:c r="C123" s="40" t="n">
        <x:v>1624477.58</x:v>
      </x:c>
      <x:c r="D123" t="n">
        <x:v>0</x:v>
      </x:c>
      <x:c r="E123" t="n">
        <x:v>77.95</x:v>
      </x:c>
      <x:c r="F123" t="n">
        <x:v>3.501</x:v>
      </x:c>
      <x:c r="G123" t="n">
        <x:v>221.7472139</x:v>
      </x:c>
      <x:c r="H123" t="n">
        <x:v>7.143</x:v>
      </x:c>
      <x:c r="I123" t="str">
        <x:v>Train</x:v>
      </x:c>
    </x:row>
    <x:row r="124">
      <x:c r="A124" t="n">
        <x:v>1</x:v>
      </x:c>
      <x:c r="B124" s="38" t="n">
        <x:v>41068</x:v>
      </x:c>
      <x:c r="C124" s="40" t="n">
        <x:v>1697230.96</x:v>
      </x:c>
      <x:c r="D124" t="n">
        <x:v>0</x:v>
      </x:c>
      <x:c r="E124" t="n">
        <x:v>78.3</x:v>
      </x:c>
      <x:c r="F124" t="n">
        <x:v>3.452</x:v>
      </x:c>
      <x:c r="G124" t="n">
        <x:v>221.7494839</x:v>
      </x:c>
      <x:c r="H124" t="n">
        <x:v>7.143</x:v>
      </x:c>
      <x:c r="I124" t="str">
        <x:v>Train</x:v>
      </x:c>
    </x:row>
    <x:row r="125">
      <x:c r="A125" t="n">
        <x:v>1</x:v>
      </x:c>
      <x:c r="B125" s="38" t="n">
        <x:v>41075</x:v>
      </x:c>
      <x:c r="C125" s="40" t="n">
        <x:v>1630607</x:v>
      </x:c>
      <x:c r="D125" t="n">
        <x:v>0</x:v>
      </x:c>
      <x:c r="E125" t="n">
        <x:v>79.35</x:v>
      </x:c>
      <x:c r="F125" t="n">
        <x:v>3.393</x:v>
      </x:c>
      <x:c r="G125" t="n">
        <x:v>221.7626421</x:v>
      </x:c>
      <x:c r="H125" t="n">
        <x:v>7.143</x:v>
      </x:c>
      <x:c r="I125" t="str">
        <x:v>Train</x:v>
      </x:c>
    </x:row>
    <x:row r="126">
      <x:c r="A126" t="n">
        <x:v>1</x:v>
      </x:c>
      <x:c r="B126" s="38" t="n">
        <x:v>41082</x:v>
      </x:c>
      <x:c r="C126" s="40" t="n">
        <x:v>1527845.81</x:v>
      </x:c>
      <x:c r="D126" t="n">
        <x:v>0</x:v>
      </x:c>
      <x:c r="E126" t="n">
        <x:v>78.39</x:v>
      </x:c>
      <x:c r="F126" t="n">
        <x:v>3.346</x:v>
      </x:c>
      <x:c r="G126" t="n">
        <x:v>221.8030211</x:v>
      </x:c>
      <x:c r="H126" t="n">
        <x:v>7.143</x:v>
      </x:c>
      <x:c r="I126" t="str">
        <x:v>Train</x:v>
      </x:c>
    </x:row>
    <x:row r="127">
      <x:c r="A127" t="n">
        <x:v>1</x:v>
      </x:c>
      <x:c r="B127" s="38" t="n">
        <x:v>41089</x:v>
      </x:c>
      <x:c r="C127" s="40" t="n">
        <x:v>1540421.49</x:v>
      </x:c>
      <x:c r="D127" t="n">
        <x:v>0</x:v>
      </x:c>
      <x:c r="E127" t="n">
        <x:v>84.88</x:v>
      </x:c>
      <x:c r="F127" t="n">
        <x:v>3.286</x:v>
      </x:c>
      <x:c r="G127" t="n">
        <x:v>221.8434</x:v>
      </x:c>
      <x:c r="H127" t="n">
        <x:v>7.143</x:v>
      </x:c>
      <x:c r="I127" t="str">
        <x:v>Train</x:v>
      </x:c>
    </x:row>
    <x:row r="128">
      <x:c r="A128" t="n">
        <x:v>1</x:v>
      </x:c>
      <x:c r="B128" s="38" t="n">
        <x:v>41096</x:v>
      </x:c>
      <x:c r="C128" s="40" t="n">
        <x:v>1769854.16</x:v>
      </x:c>
      <x:c r="D128" t="n">
        <x:v>0</x:v>
      </x:c>
      <x:c r="E128" t="n">
        <x:v>81.57</x:v>
      </x:c>
      <x:c r="F128" t="n">
        <x:v>3.227</x:v>
      </x:c>
      <x:c r="G128" t="n">
        <x:v>221.8837789</x:v>
      </x:c>
      <x:c r="H128" t="n">
        <x:v>6.908</x:v>
      </x:c>
      <x:c r="I128" t="str">
        <x:v>Train</x:v>
      </x:c>
    </x:row>
    <x:row r="129">
      <x:c r="A129" t="n">
        <x:v>1</x:v>
      </x:c>
      <x:c r="B129" s="38" t="n">
        <x:v>41103</x:v>
      </x:c>
      <x:c r="C129" s="40" t="n">
        <x:v>1527014.04</x:v>
      </x:c>
      <x:c r="D129" t="n">
        <x:v>0</x:v>
      </x:c>
      <x:c r="E129" t="n">
        <x:v>77.12</x:v>
      </x:c>
      <x:c r="F129" t="n">
        <x:v>3.256</x:v>
      </x:c>
      <x:c r="G129" t="n">
        <x:v>221.9241579</x:v>
      </x:c>
      <x:c r="H129" t="n">
        <x:v>6.908</x:v>
      </x:c>
      <x:c r="I129" t="str">
        <x:v>Train</x:v>
      </x:c>
    </x:row>
    <x:row r="130">
      <x:c r="A130" t="n">
        <x:v>1</x:v>
      </x:c>
      <x:c r="B130" s="38" t="n">
        <x:v>41110</x:v>
      </x:c>
      <x:c r="C130" s="40" t="n">
        <x:v>1497954.76</x:v>
      </x:c>
      <x:c r="D130" t="n">
        <x:v>0</x:v>
      </x:c>
      <x:c r="E130" t="n">
        <x:v>80.42</x:v>
      </x:c>
      <x:c r="F130" t="n">
        <x:v>3.311</x:v>
      </x:c>
      <x:c r="G130" t="n">
        <x:v>221.9327267</x:v>
      </x:c>
      <x:c r="H130" t="n">
        <x:v>6.908</x:v>
      </x:c>
      <x:c r="I130" t="str">
        <x:v>Train</x:v>
      </x:c>
    </x:row>
    <x:row r="131">
      <x:c r="A131" t="n">
        <x:v>1</x:v>
      </x:c>
      <x:c r="B131" s="38" t="n">
        <x:v>41117</x:v>
      </x:c>
      <x:c r="C131" s="40" t="n">
        <x:v>1439123.71</x:v>
      </x:c>
      <x:c r="D131" t="n">
        <x:v>0</x:v>
      </x:c>
      <x:c r="E131" t="n">
        <x:v>82.66</x:v>
      </x:c>
      <x:c r="F131" t="n">
        <x:v>3.407</x:v>
      </x:c>
      <x:c r="G131" t="n">
        <x:v>221.9412954</x:v>
      </x:c>
      <x:c r="H131" t="n">
        <x:v>6.908</x:v>
      </x:c>
      <x:c r="I131" t="str">
        <x:v>Train</x:v>
      </x:c>
    </x:row>
    <x:row r="132">
      <x:c r="A132" t="n">
        <x:v>1</x:v>
      </x:c>
      <x:c r="B132" s="38" t="n">
        <x:v>41124</x:v>
      </x:c>
      <x:c r="C132" s="40" t="n">
        <x:v>1631135.79</x:v>
      </x:c>
      <x:c r="D132" t="n">
        <x:v>0</x:v>
      </x:c>
      <x:c r="E132" t="n">
        <x:v>86.11</x:v>
      </x:c>
      <x:c r="F132" t="n">
        <x:v>3.417</x:v>
      </x:c>
      <x:c r="G132" t="n">
        <x:v>221.9498642</x:v>
      </x:c>
      <x:c r="H132" t="n">
        <x:v>6.908</x:v>
      </x:c>
      <x:c r="I132" t="str">
        <x:v>Train</x:v>
      </x:c>
    </x:row>
    <x:row r="133">
      <x:c r="A133" t="n">
        <x:v>1</x:v>
      </x:c>
      <x:c r="B133" s="38" t="n">
        <x:v>41131</x:v>
      </x:c>
      <x:c r="C133" s="40" t="n">
        <x:v>1592409.97</x:v>
      </x:c>
      <x:c r="D133" t="n">
        <x:v>0</x:v>
      </x:c>
      <x:c r="E133" t="n">
        <x:v>85.05</x:v>
      </x:c>
      <x:c r="F133" t="n">
        <x:v>3.494</x:v>
      </x:c>
      <x:c r="G133" t="n">
        <x:v>221.9584329</x:v>
      </x:c>
      <x:c r="H133" t="n">
        <x:v>6.908</x:v>
      </x:c>
      <x:c r="I133" t="str">
        <x:v>Test</x:v>
      </x:c>
    </x:row>
    <x:row r="134">
      <x:c r="A134" t="n">
        <x:v>1</x:v>
      </x:c>
      <x:c r="B134" s="38" t="n">
        <x:v>41138</x:v>
      </x:c>
      <x:c r="C134" s="40" t="n">
        <x:v>1597868.05</x:v>
      </x:c>
      <x:c r="D134" t="n">
        <x:v>0</x:v>
      </x:c>
      <x:c r="E134" t="n">
        <x:v>84.85</x:v>
      </x:c>
      <x:c r="F134" t="n">
        <x:v>3.571</x:v>
      </x:c>
      <x:c r="G134" t="n">
        <x:v>222.0384109</x:v>
      </x:c>
      <x:c r="H134" t="n">
        <x:v>6.908</x:v>
      </x:c>
      <x:c r="I134" t="str">
        <x:v>Test</x:v>
      </x:c>
    </x:row>
    <x:row r="135">
      <x:c r="A135" t="n">
        <x:v>1</x:v>
      </x:c>
      <x:c r="B135" s="38" t="n">
        <x:v>41145</x:v>
      </x:c>
      <x:c r="C135" s="40" t="n">
        <x:v>1494122.38</x:v>
      </x:c>
      <x:c r="D135" t="n">
        <x:v>0</x:v>
      </x:c>
      <x:c r="E135" t="n">
        <x:v>77.66</x:v>
      </x:c>
      <x:c r="F135" t="n">
        <x:v>3.62</x:v>
      </x:c>
      <x:c r="G135" t="n">
        <x:v>222.1719457</x:v>
      </x:c>
      <x:c r="H135" t="n">
        <x:v>6.908</x:v>
      </x:c>
      <x:c r="I135" t="str">
        <x:v>Test</x:v>
      </x:c>
    </x:row>
    <x:row r="136">
      <x:c r="A136" t="n">
        <x:v>1</x:v>
      </x:c>
      <x:c r="B136" s="38" t="n">
        <x:v>41152</x:v>
      </x:c>
      <x:c r="C136" s="40" t="n">
        <x:v>1582083.4</x:v>
      </x:c>
      <x:c r="D136" t="n">
        <x:v>0</x:v>
      </x:c>
      <x:c r="E136" t="n">
        <x:v>80.49</x:v>
      </x:c>
      <x:c r="F136" t="n">
        <x:v>3.638</x:v>
      </x:c>
      <x:c r="G136" t="n">
        <x:v>222.3054805</x:v>
      </x:c>
      <x:c r="H136" t="n">
        <x:v>6.908</x:v>
      </x:c>
      <x:c r="I136" t="str">
        <x:v>Test</x:v>
      </x:c>
    </x:row>
    <x:row r="137">
      <x:c r="A137" t="n">
        <x:v>1</x:v>
      </x:c>
      <x:c r="B137" s="38" t="n">
        <x:v>41159</x:v>
      </x:c>
      <x:c r="C137" s="40" t="n">
        <x:v>1661767.33</x:v>
      </x:c>
      <x:c r="D137" t="n">
        <x:v>1</x:v>
      </x:c>
      <x:c r="E137" t="n">
        <x:v>83.96</x:v>
      </x:c>
      <x:c r="F137" t="n">
        <x:v>3.73</x:v>
      </x:c>
      <x:c r="G137" t="n">
        <x:v>222.4390153</x:v>
      </x:c>
      <x:c r="H137" t="n">
        <x:v>6.908</x:v>
      </x:c>
      <x:c r="I137" t="str">
        <x:v>Test</x:v>
      </x:c>
    </x:row>
    <x:row r="138">
      <x:c r="A138" t="n">
        <x:v>1</x:v>
      </x:c>
      <x:c r="B138" s="38" t="n">
        <x:v>41166</x:v>
      </x:c>
      <x:c r="C138" s="40" t="n">
        <x:v>1517428.87</x:v>
      </x:c>
      <x:c r="D138" t="n">
        <x:v>0</x:v>
      </x:c>
      <x:c r="E138" t="n">
        <x:v>74.97</x:v>
      </x:c>
      <x:c r="F138" t="n">
        <x:v>3.717</x:v>
      </x:c>
      <x:c r="G138" t="n">
        <x:v>222.5820193</x:v>
      </x:c>
      <x:c r="H138" t="n">
        <x:v>6.908</x:v>
      </x:c>
      <x:c r="I138" t="str">
        <x:v>Test</x:v>
      </x:c>
    </x:row>
    <x:row r="139">
      <x:c r="A139" t="n">
        <x:v>1</x:v>
      </x:c>
      <x:c r="B139" s="38" t="n">
        <x:v>41173</x:v>
      </x:c>
      <x:c r="C139" s="40" t="n">
        <x:v>1506126.06</x:v>
      </x:c>
      <x:c r="D139" t="n">
        <x:v>0</x:v>
      </x:c>
      <x:c r="E139" t="n">
        <x:v>69.87</x:v>
      </x:c>
      <x:c r="F139" t="n">
        <x:v>3.721</x:v>
      </x:c>
      <x:c r="G139" t="n">
        <x:v>222.7818386</x:v>
      </x:c>
      <x:c r="H139" t="n">
        <x:v>6.908</x:v>
      </x:c>
      <x:c r="I139" t="str">
        <x:v>Test</x:v>
      </x:c>
    </x:row>
    <x:row r="140">
      <x:c r="A140" t="n">
        <x:v>1</x:v>
      </x:c>
      <x:c r="B140" s="38" t="n">
        <x:v>41180</x:v>
      </x:c>
      <x:c r="C140" s="40" t="n">
        <x:v>1437059.26</x:v>
      </x:c>
      <x:c r="D140" t="n">
        <x:v>0</x:v>
      </x:c>
      <x:c r="E140" t="n">
        <x:v>76.08</x:v>
      </x:c>
      <x:c r="F140" t="n">
        <x:v>3.666</x:v>
      </x:c>
      <x:c r="G140" t="n">
        <x:v>222.9816579</x:v>
      </x:c>
      <x:c r="H140" t="n">
        <x:v>6.908</x:v>
      </x:c>
      <x:c r="I140" t="str">
        <x:v>Test</x:v>
      </x:c>
    </x:row>
    <x:row r="141">
      <x:c r="A141" t="n">
        <x:v>1</x:v>
      </x:c>
      <x:c r="B141" s="38" t="n">
        <x:v>41187</x:v>
      </x:c>
      <x:c r="C141" s="40" t="n">
        <x:v>1670785.97</x:v>
      </x:c>
      <x:c r="D141" t="n">
        <x:v>0</x:v>
      </x:c>
      <x:c r="E141" t="n">
        <x:v>68.55</x:v>
      </x:c>
      <x:c r="F141" t="n">
        <x:v>3.617</x:v>
      </x:c>
      <x:c r="G141" t="n">
        <x:v>223.1814772</x:v>
      </x:c>
      <x:c r="H141" t="n">
        <x:v>6.573</x:v>
      </x:c>
      <x:c r="I141" t="str">
        <x:v>Test</x:v>
      </x:c>
    </x:row>
    <x:row r="142">
      <x:c r="A142" t="n">
        <x:v>1</x:v>
      </x:c>
      <x:c r="B142" s="38" t="n">
        <x:v>41194</x:v>
      </x:c>
      <x:c r="C142" s="40" t="n">
        <x:v>1573072.81</x:v>
      </x:c>
      <x:c r="D142" t="n">
        <x:v>0</x:v>
      </x:c>
      <x:c r="E142" t="n">
        <x:v>62.99</x:v>
      </x:c>
      <x:c r="F142" t="n">
        <x:v>3.601</x:v>
      </x:c>
      <x:c r="G142" t="n">
        <x:v>223.3812965</x:v>
      </x:c>
      <x:c r="H142" t="n">
        <x:v>6.573</x:v>
      </x:c>
      <x:c r="I142" t="str">
        <x:v>Test</x:v>
      </x:c>
    </x:row>
    <x:row r="143">
      <x:c r="A143" t="n">
        <x:v>1</x:v>
      </x:c>
      <x:c r="B143" s="38" t="n">
        <x:v>41201</x:v>
      </x:c>
      <x:c r="C143" s="40" t="n">
        <x:v>1508068.77</x:v>
      </x:c>
      <x:c r="D143" t="n">
        <x:v>0</x:v>
      </x:c>
      <x:c r="E143" t="n">
        <x:v>67.97</x:v>
      </x:c>
      <x:c r="F143" t="n">
        <x:v>3.594</x:v>
      </x:c>
      <x:c r="G143" t="n">
        <x:v>223.4257233</x:v>
      </x:c>
      <x:c r="H143" t="n">
        <x:v>6.573</x:v>
      </x:c>
      <x:c r="I143" t="str">
        <x:v>Test</x:v>
      </x:c>
    </x:row>
    <x:row r="144">
      <x:c r="A144" t="n">
        <x:v>1</x:v>
      </x:c>
      <x:c r="B144" s="38" t="n">
        <x:v>41208</x:v>
      </x:c>
      <x:c r="C144" s="40" t="n">
        <x:v>1493659.74</x:v>
      </x:c>
      <x:c r="D144" t="n">
        <x:v>0</x:v>
      </x:c>
      <x:c r="E144" t="n">
        <x:v>69.16</x:v>
      </x:c>
      <x:c r="F144" t="n">
        <x:v>3.506</x:v>
      </x:c>
      <x:c r="G144" t="n">
        <x:v>223.4442513</x:v>
      </x:c>
      <x:c r="H144" t="n">
        <x:v>6.573</x:v>
      </x:c>
      <x:c r="I144" t="str">
        <x:v>Test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42" t="str">
        <x:v>import pandas as pd</x:v>
      </x:c>
    </x:row>
    <x:row r="2">
      <x:c r="A2" s="42" t="str">
        <x:v>import numpy as np</x:v>
      </x:c>
    </x:row>
    <x:row r="3">
      <x:c r="A3" s="42" t="str">
        <x:v>import matplotlib.pyplot as plt</x:v>
      </x:c>
    </x:row>
    <x:row r="4">
      <x:c r="A4" s="42" t="str"/>
    </x:row>
    <x:row r="5">
      <x:c r="A5" s="42" t="str">
        <x:v>df = pd.read_csv("Walmart_Store_sales.csv")</x:v>
      </x:c>
    </x:row>
    <x:row r="6">
      <x:c r="A6" s="42" t="str">
        <x:v>df["Date"] = pd.to_datetime(df["Date"], format="%d-%m-%Y")</x:v>
      </x:c>
    </x:row>
    <x:row r="7">
      <x:c r="A7" s="42" t="str"/>
    </x:row>
    <x:row r="8">
      <x:c r="A8" s="42" t="str">
        <x:v>STORE_ID = 1</x:v>
      </x:c>
    </x:row>
    <x:row r="9">
      <x:c r="A9" s="42" t="str">
        <x:v>store_df = df[df["Store"] == STORE_ID].sort_values("Date").reset_index(drop=True)</x:v>
      </x:c>
    </x:row>
    <x:row r="10">
      <x:c r="A10" s="42" t="str"/>
    </x:row>
    <x:row r="11">
      <x:c r="A11" s="42" t="str">
        <x:v>train_df = store_df.iloc[:-12].copy()</x:v>
      </x:c>
    </x:row>
    <x:row r="12">
      <x:c r="A12" s="42" t="str">
        <x:v>test_df = store_df.iloc[-12:].copy()</x:v>
      </x:c>
    </x:row>
    <x:row r="13">
      <x:c r="A13" s="42" t="str"/>
    </x:row>
    <x:row r="14">
      <x:c r="A14" s="42" t="str">
        <x:v># 1) 4-week Simple Moving Average</x:v>
      </x:c>
    </x:row>
    <x:row r="15">
      <x:c r="A15" s="42" t="str">
        <x:v>sma_forecast = np.repeat(train_df["Weekly_Sales"].tail(4).mean(), len(test_df))</x:v>
      </x:c>
    </x:row>
    <x:row r="16">
      <x:c r="A16" s="42" t="str"/>
    </x:row>
    <x:row r="17">
      <x:c r="A17" s="42" t="str">
        <x:v># 2) Simple Exponential Smoothing, coded directly</x:v>
      </x:c>
    </x:row>
    <x:row r="18">
      <x:c r="A18" s="42" t="str">
        <x:v>def ses_level(series, alpha):</x:v>
      </x:c>
    </x:row>
    <x:row r="19">
      <x:c r="A19" s="42" t="str">
        <x:v>    level = series.iloc[0]</x:v>
      </x:c>
    </x:row>
    <x:row r="20">
      <x:c r="A20" s="42" t="str">
        <x:v>    for y in series.iloc[1:]:</x:v>
      </x:c>
    </x:row>
    <x:row r="21">
      <x:c r="A21" s="42" t="str">
        <x:v>        level = alpha*y + (1-alpha)*level</x:v>
      </x:c>
    </x:row>
    <x:row r="22">
      <x:c r="A22" s="42" t="str">
        <x:v>    return level</x:v>
      </x:c>
    </x:row>
    <x:row r="23">
      <x:c r="A23" s="42" t="str"/>
    </x:row>
    <x:row r="24">
      <x:c r="A24" s="42" t="str">
        <x:v>ses03_forecast = np.repeat(ses_level(train_df["Weekly_Sales"], 0.3), len(test_df))</x:v>
      </x:c>
    </x:row>
    <x:row r="25">
      <x:c r="A25" s="42" t="str">
        <x:v>ses06_forecast = np.repeat(ses_level(train_df["Weekly_Sales"], 0.6), len(test_df))</x:v>
      </x:c>
    </x:row>
    <x:row r="26">
      <x:c r="A26" s="42" t="str"/>
    </x:row>
    <x:row r="27">
      <x:c r="A27" s="42" t="str">
        <x:v># 3) Seasonal naive with Holiday_Flag</x:v>
      </x:c>
    </x:row>
    <x:row r="28">
      <x:c r="A28" s="42" t="str">
        <x:v># For each test week, look 52 weeks back and use the closest TRAINING week</x:v>
      </x:c>
    </x:row>
    <x:row r="29">
      <x:c r="A29" s="42" t="str">
        <x:v># with the same Holiday_Flag. No test sales are used for fitting.</x:v>
      </x:c>
    </x:row>
    <x:row r="30">
      <x:c r="A30" s="42" t="str">
        <x:v>seasonal_forecast = []</x:v>
      </x:c>
    </x:row>
    <x:row r="31">
      <x:c r="A31" s="42" t="str">
        <x:v>for _, row in test_df.iterrows():</x:v>
      </x:c>
    </x:row>
    <x:row r="32">
      <x:c r="A32" s="42" t="str">
        <x:v>    target_date = row["Date"] - pd.Timedelta(weeks=52)</x:v>
      </x:c>
    </x:row>
    <x:row r="33">
      <x:c r="A33" s="42" t="str">
        <x:v>    candidates = train_df[train_df["Holiday_Flag"] == row["Holiday_Flag"]].copy()</x:v>
      </x:c>
    </x:row>
    <x:row r="34">
      <x:c r="A34" s="42" t="str">
        <x:v>    nearest_idx = (candidates["Date"] - target_date).abs().idxmin()</x:v>
      </x:c>
    </x:row>
    <x:row r="35">
      <x:c r="A35" s="42" t="str">
        <x:v>    seasonal_forecast.append(train_df.loc[nearest_idx, "Weekly_Sales"])</x:v>
      </x:c>
    </x:row>
    <x:row r="36">
      <x:c r="A36" s="42" t="str">
        <x:v>seasonal_forecast = np.array(seasonal_forecast)</x:v>
      </x:c>
    </x:row>
    <x:row r="37">
      <x:c r="A37" s="42" t="str"/>
    </x:row>
    <x:row r="38">
      <x:c r="A38" s="42" t="str">
        <x:v>def mape(actual, forecast):</x:v>
      </x:c>
    </x:row>
    <x:row r="39">
      <x:c r="A39" s="42" t="str">
        <x:v>    return np.mean(np.abs((actual - forecast) / actual)) * 100</x:v>
      </x:c>
    </x:row>
    <x:row r="40">
      <x:c r="A40" s="42" t="str"/>
    </x:row>
    <x:row r="41">
      <x:c r="A41" s="42" t="str">
        <x:v>actual = test_df["Weekly_Sales"].to_numpy()</x:v>
      </x:c>
    </x:row>
    <x:row r="42">
      <x:c r="A42" s="42" t="str">
        <x:v>comparison = pd.DataFrame({</x:v>
      </x:c>
    </x:row>
    <x:row r="43">
      <x:c r="A43" s="42" t="str">
        <x:v>    "Method": ["4-week SMA", "SES alpha=0.3", "SES alpha=0.6", "Seasonal Naive"],</x:v>
      </x:c>
    </x:row>
    <x:row r="44">
      <x:c r="A44" s="42" t="str">
        <x:v>    "MAPE (%)": [</x:v>
      </x:c>
    </x:row>
    <x:row r="45">
      <x:c r="A45" s="42" t="str">
        <x:v>        mape(actual, sma_forecast),</x:v>
      </x:c>
    </x:row>
    <x:row r="46">
      <x:c r="A46" s="42" t="str">
        <x:v>        mape(actual, ses03_forecast),</x:v>
      </x:c>
    </x:row>
    <x:row r="47">
      <x:c r="A47" s="42" t="str">
        <x:v>        mape(actual, ses06_forecast),</x:v>
      </x:c>
    </x:row>
    <x:row r="48">
      <x:c r="A48" s="42" t="str">
        <x:v>        mape(actual, seasonal_forecast)</x:v>
      </x:c>
    </x:row>
    <x:row r="49">
      <x:c r="A49" s="42" t="str">
        <x:v>    ]</x:v>
      </x:c>
    </x:row>
    <x:row r="50">
      <x:c r="A50" s="42" t="str">
        <x:v>}).sort_values("MAPE (%)")</x:v>
      </x:c>
    </x:row>
    <x:row r="51">
      <x:c r="A51" s="42" t="str"/>
    </x:row>
    <x:row r="52">
      <x:c r="A52" s="42" t="str">
        <x:v>print(comparison.to_string(index=False))</x:v>
      </x:c>
    </x:row>
    <x:row r="53">
      <x:c r="A53" s="42" t="str"/>
    </x:row>
    <x:row r="54">
      <x:c r="A54" s="42" t="str">
        <x:v>plt.figure(figsize=(11,6))</x:v>
      </x:c>
    </x:row>
    <x:row r="55">
      <x:c r="A55" s="42" t="str">
        <x:v>plt.plot(test_df["Date"], actual, marker="o", label="Actual")</x:v>
      </x:c>
    </x:row>
    <x:row r="56">
      <x:c r="A56" s="42" t="str">
        <x:v>plt.plot(test_df["Date"], sma_forecast, marker="o", label="4-week SMA")</x:v>
      </x:c>
    </x:row>
    <x:row r="57">
      <x:c r="A57" s="42" t="str">
        <x:v>plt.plot(test_df["Date"], ses03_forecast, marker="o", label="SES 0.3")</x:v>
      </x:c>
    </x:row>
    <x:row r="58">
      <x:c r="A58" s="42" t="str">
        <x:v>plt.plot(test_df["Date"], ses06_forecast, marker="o", label="SES 0.6")</x:v>
      </x:c>
    </x:row>
    <x:row r="59">
      <x:c r="A59" s="42" t="str">
        <x:v>plt.plot(test_df["Date"], seasonal_forecast, marker="o", label="Seasonal Naive")</x:v>
      </x:c>
    </x:row>
    <x:row r="60">
      <x:c r="A60" s="42" t="str">
        <x:v>plt.title(f"Walmart Store {STORE_ID}: 12-Week Forecast Comparison")</x:v>
      </x:c>
    </x:row>
    <x:row r="61">
      <x:c r="A61" s="42" t="str">
        <x:v>plt.xlabel("Date")</x:v>
      </x:c>
    </x:row>
    <x:row r="62">
      <x:c r="A62" s="42" t="str">
        <x:v>plt.ylabel("Weekly Sales")</x:v>
      </x:c>
    </x:row>
    <x:row r="63">
      <x:c r="A63" s="42" t="str">
        <x:v>plt.xticks(rotation=45)</x:v>
      </x:c>
    </x:row>
    <x:row r="64">
      <x:c r="A64" s="42" t="str">
        <x:v>plt.legend()</x:v>
      </x:c>
    </x:row>
    <x:row r="65">
      <x:c r="A65" s="42" t="str">
        <x:v>plt.tight_layout()</x:v>
      </x:c>
    </x:row>
    <x:row r="66">
      <x:c r="A66" s="42" t="str">
        <x:v>plt.show()</x:v>
      </x:c>
    </x:row>
  </x:sheetData>
  <x:pageMargins left="0.7" right="0.7" top="0.75" bottom="0.75" header="0.3" footer="0.3"/>
</x:worksheet>
</file>